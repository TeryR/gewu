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Roaming\AutoClaw-official\accounts\25610e2cbbe07e38b74d61547f8b07895759ae9f16f7ad3317155d65454a2e79\projects\Default\复杂Excel挑战集\"/>
    </mc:Choice>
  </mc:AlternateContent>
  <bookViews>
    <workbookView/>
  </bookViews>
  <sheets>
    <sheet name="说明" sheetId="1" r:id="rId1"/>
    <sheet name="月度数据" sheetId="2" r:id="rId2"/>
    <sheet name="毛利分析" sheetId="3" r:id="rId3"/>
    <sheet name="费用分析" sheetId="4" r:id="rId4"/>
    <sheet name="预算对比" sheetId="5" r:id="rId5"/>
    <sheet name="校验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AutoClaw</author>
  </authors>
  <commentList>
    <comment ref="B5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6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7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7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7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7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7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7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7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7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7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8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8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8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8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8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8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8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8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8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9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9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9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9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9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9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9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9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9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0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10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10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0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10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10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10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10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10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1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11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11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1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11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11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11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11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11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2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12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12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2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12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12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12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12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12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3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13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13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3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13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13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13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13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13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4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14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14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4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14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14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14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14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14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5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1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1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1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1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1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1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1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6" authorId="0">
      <text>
        <r>
          <rPr>
            <sz val="10"/>
            <rFont val="宋体"/>
            <charset val="134"/>
          </rPr>
          <t>Source: 合成模拟数据 [测算]，随机种子 20261201；单位：件。</t>
        </r>
      </text>
    </comment>
    <comment ref="C1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D1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F1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G1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H1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I1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J1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</commentList>
</comments>
</file>

<file path=xl/comments2.xml><?xml version="1.0" encoding="utf-8"?>
<comments xmlns="http://schemas.openxmlformats.org/spreadsheetml/2006/main">
  <authors>
    <author>AutoClaw</author>
  </authors>
  <commentList>
    <comment ref="B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7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7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8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8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9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9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0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0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1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1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2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2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3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3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4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4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5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B1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  <comment ref="E16" authorId="0">
      <text>
        <r>
          <rPr>
            <sz val="10"/>
            <rFont val="宋体"/>
            <charset val="134"/>
          </rPr>
          <t>Source: 合成模拟数据 [测算]，随机种子 20261201；单位：元。</t>
        </r>
      </text>
    </comment>
  </commentList>
</comments>
</file>

<file path=xl/sharedStrings.xml><?xml version="1.0" encoding="utf-8"?>
<sst xmlns="http://schemas.openxmlformats.org/spreadsheetml/2006/main" count="94" uniqueCount="84">
  <si>
    <t>T4 埋错狩猎 · 标准件 · 经营毛利模型查错挑战</t>
  </si>
  <si>
    <t>这份工作簿是什么</t>
  </si>
  <si>
    <t>某标准件产品线 2026 年 1-12 月的管理层损益模型，含 月度数据 / 毛利分析 / 费用分析 / 预算对比 / 校验 五张表。</t>
  </si>
  <si>
    <t>全部为合成模拟数据（随机种子 20261201）。「校验」表 12 项检查中，一部分按设计为 FALSE。</t>
  </si>
  <si>
    <t>挑战</t>
  </si>
  <si>
    <t>模型公式中埋了 8 处隐蔽错误：求和范围差一行、引用列错位、方向写反、</t>
  </si>
  <si>
    <t>分子分母颠倒、统计口径用反等典型真实错误，无一处会产生 #DIV/0! 之类显性报错。</t>
  </si>
  <si>
    <t>任务是：把 8 处错误全部定位到具体单元格，并给出正确公式。</t>
  </si>
  <si>
    <t>注意：校验表是有用的，但它本身未必覆盖所有错误。</t>
  </si>
  <si>
    <t>约定</t>
  </si>
  <si>
    <t>蓝色=硬输入（含来源批注），黑色=本表公式，绿色=跨表链接。</t>
  </si>
  <si>
    <t>金额单位：元；比率单位：%。合成模拟数据 [测算]。</t>
  </si>
  <si>
    <t>月份</t>
  </si>
  <si>
    <t>销量</t>
  </si>
  <si>
    <t>单价</t>
  </si>
  <si>
    <t>收入</t>
  </si>
  <si>
    <t>原材料</t>
  </si>
  <si>
    <t>人工</t>
  </si>
  <si>
    <t>制造费用</t>
  </si>
  <si>
    <t>运输费用</t>
  </si>
  <si>
    <t>销售费用</t>
  </si>
  <si>
    <t>管理费用</t>
  </si>
  <si>
    <t>变动成本</t>
  </si>
  <si>
    <t>毛利</t>
  </si>
  <si>
    <t>毛利率</t>
  </si>
  <si>
    <t>单位毛利</t>
  </si>
  <si>
    <t>单位成本</t>
  </si>
  <si>
    <t>累计毛利率</t>
  </si>
  <si>
    <t>收入环比</t>
  </si>
  <si>
    <t>累计收入</t>
  </si>
  <si>
    <t>累计毛利</t>
  </si>
  <si>
    <t>占全年收入</t>
  </si>
  <si>
    <t>-</t>
  </si>
  <si>
    <t/>
  </si>
  <si>
    <t>合计/全年</t>
  </si>
  <si>
    <t>费用合计</t>
  </si>
  <si>
    <t>销售费用率</t>
  </si>
  <si>
    <t>管理费用率</t>
  </si>
  <si>
    <t>总费用率</t>
  </si>
  <si>
    <t>费用环比</t>
  </si>
  <si>
    <t>累计费用</t>
  </si>
  <si>
    <t>预算收入</t>
  </si>
  <si>
    <t>实际收入</t>
  </si>
  <si>
    <t>收入差异</t>
  </si>
  <si>
    <t>预算毛利</t>
  </si>
  <si>
    <t>实际毛利</t>
  </si>
  <si>
    <t>毛利差异</t>
  </si>
  <si>
    <t>收入达成率</t>
  </si>
  <si>
    <t>毛利达成率</t>
  </si>
  <si>
    <t>达成标记</t>
  </si>
  <si>
    <t>差异率</t>
  </si>
  <si>
    <t>达标月数</t>
  </si>
  <si>
    <t>模型查错校验表（部分检查按设计应为 FALSE——请定位原因）</t>
  </si>
  <si>
    <t>编号</t>
  </si>
  <si>
    <t>校验项</t>
  </si>
  <si>
    <t>结果</t>
  </si>
  <si>
    <t>说明</t>
  </si>
  <si>
    <t>收入合计一致</t>
  </si>
  <si>
    <t>毛利分析表全年收入应等于月度数据收入列合计</t>
  </si>
  <si>
    <t>变动成本合计一致</t>
  </si>
  <si>
    <t>变动成本=原材料+人工+制造费用+运输费用</t>
  </si>
  <si>
    <t>毛利恒等式</t>
  </si>
  <si>
    <t>全年毛利=收入-变动成本</t>
  </si>
  <si>
    <t>累计收入期末=全年收入</t>
  </si>
  <si>
    <t>12月累计收入列应等于全年收入合计</t>
  </si>
  <si>
    <t>单位毛利勾稽</t>
  </si>
  <si>
    <t>全年单位毛利=全年单位售价-全年单位成本</t>
  </si>
  <si>
    <t>全年销售费用率</t>
  </si>
  <si>
    <t>全年销售费用率=销售费用合计/全年收入</t>
  </si>
  <si>
    <t>累计毛利期末=全年毛利</t>
  </si>
  <si>
    <t>12月累计毛利列应等于全年毛利合计</t>
  </si>
  <si>
    <t>全年收入差异方向</t>
  </si>
  <si>
    <t>收入差异=实际-预算</t>
  </si>
  <si>
    <t>全年毛利率恒等式</t>
  </si>
  <si>
    <t>毛利率=1-变动成本率</t>
  </si>
  <si>
    <t>累计毛利率期末=全年毛利率</t>
  </si>
  <si>
    <t>12月累计毛利率应等于全年毛利率</t>
  </si>
  <si>
    <t>2月收入环比口径</t>
  </si>
  <si>
    <t>2月环比=2月收入/1月收入-1</t>
  </si>
  <si>
    <t>达标月数统计</t>
  </si>
  <si>
    <t>达标月数应等于标记为「达成」的月份数</t>
  </si>
  <si>
    <t>总判定</t>
  </si>
  <si>
    <t>通过数</t>
  </si>
  <si>
    <t>未通过数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</si>
</sst>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9">
    <font>
      <sz val="11"/>
      <color theme="1"/>
      <name val="宋体"/>
      <charset val="134"/>
      <scheme val="minor"/>
    </font>
    <font>
      <b/>
      <sz val="1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rgb="FF008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1F4E7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center" vertical="center"/>
    </xf>
    <xf numFmtId="4" fontId="3" fillId="3" borderId="0" xfId="0" applyNumberFormat="1" applyFont="1" applyFill="1" applyAlignment="1">
      <alignment horizontal="right" vertical="center"/>
    </xf>
    <xf numFmtId="176" fontId="3" fillId="3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7" fillId="0" borderId="0" xfId="0" applyFont="1"/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B2:B16"/>
  <sheetViews>
    <sheetView tabSelected="1" workbookViewId="0">
      <selection activeCell="A1" sqref="A1"/>
    </sheetView>
  </sheetViews>
  <sheetFormatPr defaultColWidth="9" defaultRowHeight="13.5" outlineLevelCol="1"/>
  <cols>
    <col min="2" max="2" width="118" customWidth="1"/>
  </cols>
  <sheetData>
    <row r="2" ht="18.75" spans="2:2">
      <c r="B2" s="19" t="s">
        <v>0</v>
      </c>
    </row>
    <row r="4" spans="2:2">
      <c r="B4" s="20" t="s">
        <v>1</v>
      </c>
    </row>
    <row r="5" spans="2:2">
      <c r="B5" s="21" t="s">
        <v>2</v>
      </c>
    </row>
    <row r="6" spans="2:2">
      <c r="B6" s="21" t="s">
        <v>3</v>
      </c>
    </row>
    <row r="8" spans="2:2">
      <c r="B8" s="20" t="s">
        <v>4</v>
      </c>
    </row>
    <row r="9" spans="2:2">
      <c r="B9" s="21" t="s">
        <v>5</v>
      </c>
    </row>
    <row r="10" spans="2:2">
      <c r="B10" s="21" t="s">
        <v>6</v>
      </c>
    </row>
    <row r="11" spans="2:2">
      <c r="B11" s="21" t="s">
        <v>7</v>
      </c>
    </row>
    <row r="12" spans="2:2">
      <c r="B12" s="21" t="s">
        <v>8</v>
      </c>
    </row>
    <row r="14" spans="2:2">
      <c r="B14" s="20" t="s">
        <v>9</v>
      </c>
    </row>
    <row r="15" spans="2:2">
      <c r="B15" s="21" t="s">
        <v>10</v>
      </c>
    </row>
    <row r="16" spans="2:2">
      <c r="B16" s="2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16"/>
  <sheetViews>
    <sheetView workbookViewId="0">
      <selection activeCell="A1" sqref="A1"/>
    </sheetView>
  </sheetViews>
  <sheetFormatPr defaultColWidth="9" defaultRowHeight="13.5"/>
  <cols>
    <col min="1" max="1" width="8" customWidth="1"/>
  </cols>
  <sheetData>
    <row r="4" spans="1:10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</row>
    <row r="5" spans="1:10">
      <c r="A5" s="3">
        <v>1</v>
      </c>
      <c r="B5" s="18">
        <v>2361</v>
      </c>
      <c r="C5" s="10">
        <v>405.9</v>
      </c>
      <c r="D5" s="10">
        <v>958329.9</v>
      </c>
      <c r="E5" s="10">
        <v>467843.15</v>
      </c>
      <c r="F5" s="10">
        <v>128637.65</v>
      </c>
      <c r="G5" s="10">
        <v>134619.82</v>
      </c>
      <c r="H5" s="10">
        <v>50452.06</v>
      </c>
      <c r="I5" s="10">
        <v>75387.48</v>
      </c>
      <c r="J5" s="10">
        <v>113994.84</v>
      </c>
    </row>
    <row r="6" spans="1:10">
      <c r="A6" s="3">
        <v>2</v>
      </c>
      <c r="B6" s="18">
        <v>3241</v>
      </c>
      <c r="C6" s="10">
        <v>411.87</v>
      </c>
      <c r="D6" s="10">
        <v>1334870.67</v>
      </c>
      <c r="E6" s="10">
        <v>589992.97</v>
      </c>
      <c r="F6" s="10">
        <v>212382.58</v>
      </c>
      <c r="G6" s="10">
        <v>185778.77</v>
      </c>
      <c r="H6" s="10">
        <v>74570.09</v>
      </c>
      <c r="I6" s="10">
        <v>80849.3</v>
      </c>
      <c r="J6" s="10">
        <v>87256.1</v>
      </c>
    </row>
    <row r="7" spans="1:10">
      <c r="A7" s="3">
        <v>3</v>
      </c>
      <c r="B7" s="18">
        <v>2419</v>
      </c>
      <c r="C7" s="10">
        <v>318.67</v>
      </c>
      <c r="D7" s="10">
        <v>770862.73</v>
      </c>
      <c r="E7" s="10">
        <v>337578.85</v>
      </c>
      <c r="F7" s="10">
        <v>102120.32</v>
      </c>
      <c r="G7" s="10">
        <v>109278.74</v>
      </c>
      <c r="H7" s="10">
        <v>38875.47</v>
      </c>
      <c r="I7" s="10">
        <v>65705.81</v>
      </c>
      <c r="J7" s="10">
        <v>89620.23</v>
      </c>
    </row>
    <row r="8" spans="1:10">
      <c r="A8" s="3">
        <v>4</v>
      </c>
      <c r="B8" s="18">
        <v>3113</v>
      </c>
      <c r="C8" s="10">
        <v>91.58</v>
      </c>
      <c r="D8" s="10">
        <v>285088.54</v>
      </c>
      <c r="E8" s="10">
        <v>121639.42</v>
      </c>
      <c r="F8" s="10">
        <v>56127.01</v>
      </c>
      <c r="G8" s="10">
        <v>33655.52</v>
      </c>
      <c r="H8" s="10">
        <v>15343.18</v>
      </c>
      <c r="I8" s="10">
        <v>20681.89</v>
      </c>
      <c r="J8" s="10">
        <v>29149.81</v>
      </c>
    </row>
    <row r="9" spans="1:10">
      <c r="A9" s="3">
        <v>5</v>
      </c>
      <c r="B9" s="18">
        <v>2782</v>
      </c>
      <c r="C9" s="10">
        <v>386.29</v>
      </c>
      <c r="D9" s="10">
        <v>1074658.78</v>
      </c>
      <c r="E9" s="10">
        <v>464875.29</v>
      </c>
      <c r="F9" s="10">
        <v>183314.94</v>
      </c>
      <c r="G9" s="10">
        <v>95576.88</v>
      </c>
      <c r="H9" s="10">
        <v>55142.97</v>
      </c>
      <c r="I9" s="10">
        <v>67340.15</v>
      </c>
      <c r="J9" s="10">
        <v>106940.62</v>
      </c>
    </row>
    <row r="10" spans="1:10">
      <c r="A10" s="3">
        <v>6</v>
      </c>
      <c r="B10" s="18">
        <v>2552</v>
      </c>
      <c r="C10" s="10">
        <v>419.95</v>
      </c>
      <c r="D10" s="10">
        <v>1071712.4</v>
      </c>
      <c r="E10" s="10">
        <v>379525.32</v>
      </c>
      <c r="F10" s="10">
        <v>156318.83</v>
      </c>
      <c r="G10" s="10">
        <v>159697.22</v>
      </c>
      <c r="H10" s="10">
        <v>42559.01</v>
      </c>
      <c r="I10" s="10">
        <v>63070.73</v>
      </c>
      <c r="J10" s="10">
        <v>118690.07</v>
      </c>
    </row>
    <row r="11" spans="1:10">
      <c r="A11" s="3">
        <v>7</v>
      </c>
      <c r="B11" s="18">
        <v>1753</v>
      </c>
      <c r="C11" s="10">
        <v>310.38</v>
      </c>
      <c r="D11" s="10">
        <v>544096.14</v>
      </c>
      <c r="E11" s="10">
        <v>250077.08</v>
      </c>
      <c r="F11" s="10">
        <v>93879.34</v>
      </c>
      <c r="G11" s="10">
        <v>54372.5</v>
      </c>
      <c r="H11" s="10">
        <v>19503.16</v>
      </c>
      <c r="I11" s="10">
        <v>32744.03</v>
      </c>
      <c r="J11" s="10">
        <v>48516.44</v>
      </c>
    </row>
    <row r="12" spans="1:10">
      <c r="A12" s="3">
        <v>8</v>
      </c>
      <c r="B12" s="18">
        <v>1898</v>
      </c>
      <c r="C12" s="10">
        <v>461.84</v>
      </c>
      <c r="D12" s="10">
        <v>876572.32</v>
      </c>
      <c r="E12" s="10">
        <v>347762.08</v>
      </c>
      <c r="F12" s="10">
        <v>166151.95</v>
      </c>
      <c r="G12" s="10">
        <v>98623.06</v>
      </c>
      <c r="H12" s="10">
        <v>29000.92</v>
      </c>
      <c r="I12" s="10">
        <v>65180.03</v>
      </c>
      <c r="J12" s="10">
        <v>91385.21</v>
      </c>
    </row>
    <row r="13" spans="1:10">
      <c r="A13" s="3">
        <v>9</v>
      </c>
      <c r="B13" s="18">
        <v>3080</v>
      </c>
      <c r="C13" s="10">
        <v>191.66</v>
      </c>
      <c r="D13" s="10">
        <v>590312.8</v>
      </c>
      <c r="E13" s="10">
        <v>283105.13</v>
      </c>
      <c r="F13" s="10">
        <v>80758.15</v>
      </c>
      <c r="G13" s="10">
        <v>49109.46</v>
      </c>
      <c r="H13" s="10">
        <v>30219.33</v>
      </c>
      <c r="I13" s="10">
        <v>30189.93</v>
      </c>
      <c r="J13" s="10">
        <v>40359.67</v>
      </c>
    </row>
    <row r="14" spans="1:10">
      <c r="A14" s="3">
        <v>10</v>
      </c>
      <c r="B14" s="18">
        <v>2349</v>
      </c>
      <c r="C14" s="10">
        <v>287.74</v>
      </c>
      <c r="D14" s="10">
        <v>675901.26</v>
      </c>
      <c r="E14" s="10">
        <v>326680.64</v>
      </c>
      <c r="F14" s="10">
        <v>90408.44</v>
      </c>
      <c r="G14" s="10">
        <v>68939.68</v>
      </c>
      <c r="H14" s="10">
        <v>31899.98</v>
      </c>
      <c r="I14" s="10">
        <v>40399.2</v>
      </c>
      <c r="J14" s="10">
        <v>76687.24</v>
      </c>
    </row>
    <row r="15" spans="1:10">
      <c r="A15" s="3">
        <v>11</v>
      </c>
      <c r="B15" s="18">
        <v>3840</v>
      </c>
      <c r="C15" s="10">
        <v>412.24</v>
      </c>
      <c r="D15" s="10">
        <v>1583001.6</v>
      </c>
      <c r="E15" s="10">
        <v>562244.91</v>
      </c>
      <c r="F15" s="10">
        <v>273188.29</v>
      </c>
      <c r="G15" s="10">
        <v>195384.49</v>
      </c>
      <c r="H15" s="10">
        <v>68541.69</v>
      </c>
      <c r="I15" s="10">
        <v>138263.59</v>
      </c>
      <c r="J15" s="10">
        <v>117506.71</v>
      </c>
    </row>
    <row r="16" spans="1:10">
      <c r="A16" s="3">
        <v>12</v>
      </c>
      <c r="B16" s="18">
        <v>1513</v>
      </c>
      <c r="C16" s="10">
        <v>158.36</v>
      </c>
      <c r="D16" s="10">
        <v>239598.68</v>
      </c>
      <c r="E16" s="10">
        <v>106210.25</v>
      </c>
      <c r="F16" s="10">
        <v>41257.41</v>
      </c>
      <c r="G16" s="10">
        <v>20484.26</v>
      </c>
      <c r="H16" s="10">
        <v>9022.21</v>
      </c>
      <c r="I16" s="10">
        <v>20067.96</v>
      </c>
      <c r="J16" s="10">
        <v>15751.22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L17"/>
  <sheetViews>
    <sheetView workbookViewId="0">
      <selection activeCell="A1" sqref="A1"/>
    </sheetView>
  </sheetViews>
  <sheetFormatPr defaultColWidth="9" defaultRowHeight="13.5"/>
  <sheetData>
    <row r="4" spans="1:12">
      <c r="A4" s="2" t="s">
        <v>12</v>
      </c>
      <c r="B4" s="2" t="s">
        <v>15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</row>
    <row r="5" spans="1:12">
      <c r="A5" s="3">
        <v>1</v>
      </c>
      <c r="B5" s="11">
        <f>月度数据!D5</f>
        <v>958329.9</v>
      </c>
      <c r="C5" s="11">
        <f>月度数据!E5+月度数据!F5+月度数据!G5+月度数据!H5</f>
        <v>781552.68</v>
      </c>
      <c r="D5" s="12">
        <f t="shared" ref="D5:D16" si="0">B5-C5</f>
        <v>176777.22</v>
      </c>
      <c r="E5" s="13">
        <f t="shared" ref="E5:E17" si="1">D5/B5</f>
        <v>0.184463846948738</v>
      </c>
      <c r="F5" s="12">
        <f>D5/月度数据!B5</f>
        <v>74.873875476493</v>
      </c>
      <c r="G5" s="12">
        <f>C5/月度数据!B5</f>
        <v>331.026124523507</v>
      </c>
      <c r="H5" s="13" t="s">
        <v>32</v>
      </c>
      <c r="I5" s="13" t="s">
        <v>33</v>
      </c>
      <c r="J5" s="12">
        <f>SUM(B5:B$6)</f>
        <v>2293200.57</v>
      </c>
      <c r="K5" s="12">
        <v>0</v>
      </c>
      <c r="L5" s="13">
        <f t="shared" ref="L5:L16" si="2">D5/$B$17</f>
        <v>0.0176688772780744</v>
      </c>
    </row>
    <row r="6" spans="1:12">
      <c r="A6" s="3">
        <v>2</v>
      </c>
      <c r="B6" s="11">
        <f>月度数据!D6</f>
        <v>1334870.67</v>
      </c>
      <c r="C6" s="11">
        <f>月度数据!E6+月度数据!F6+月度数据!G6+月度数据!H6</f>
        <v>1062724.41</v>
      </c>
      <c r="D6" s="12">
        <f t="shared" si="0"/>
        <v>272146.26</v>
      </c>
      <c r="E6" s="13">
        <f t="shared" si="1"/>
        <v>0.20387462704533</v>
      </c>
      <c r="F6" s="12">
        <f>D6/月度数据!B6</f>
        <v>83.9698426411601</v>
      </c>
      <c r="G6" s="12">
        <f>C6/月度数据!B6</f>
        <v>327.90015735884</v>
      </c>
      <c r="H6" s="13">
        <f>SUM(D$5:D5)/SUM(B$5:B6)</f>
        <v>0.0770875527909013</v>
      </c>
      <c r="I6" s="13">
        <f>B7/B6-1</f>
        <v>-0.422518789779088</v>
      </c>
      <c r="J6" s="12">
        <f>SUM(B$6:B6)</f>
        <v>1334870.67</v>
      </c>
      <c r="K6" s="12">
        <f>SUM(D$5:D5)</f>
        <v>176777.22</v>
      </c>
      <c r="L6" s="13">
        <f t="shared" si="2"/>
        <v>0.0272010096641803</v>
      </c>
    </row>
    <row r="7" spans="1:12">
      <c r="A7" s="3">
        <v>3</v>
      </c>
      <c r="B7" s="11">
        <f>月度数据!D7</f>
        <v>770862.73</v>
      </c>
      <c r="C7" s="11">
        <f>月度数据!E7+月度数据!F7+月度数据!G7+月度数据!H7</f>
        <v>587853.38</v>
      </c>
      <c r="D7" s="12">
        <f t="shared" si="0"/>
        <v>183009.35</v>
      </c>
      <c r="E7" s="13">
        <f t="shared" si="1"/>
        <v>0.237408481273962</v>
      </c>
      <c r="F7" s="12">
        <f>D7/月度数据!B7</f>
        <v>75.6549607275734</v>
      </c>
      <c r="G7" s="12">
        <f>C7/月度数据!B7</f>
        <v>243.015039272427</v>
      </c>
      <c r="H7" s="13">
        <f>SUM(D$5:D6)/SUM(B$5:B7)</f>
        <v>0.146512469243047</v>
      </c>
      <c r="I7" s="13">
        <f t="shared" ref="I7:I16" si="3">B7/B6-1</f>
        <v>-0.422518789779088</v>
      </c>
      <c r="J7" s="12">
        <f>SUM(B$6:B7)</f>
        <v>2105733.4</v>
      </c>
      <c r="K7" s="12">
        <f>SUM(D$5:D6)</f>
        <v>448923.48</v>
      </c>
      <c r="L7" s="13">
        <f t="shared" si="2"/>
        <v>0.0182917784649525</v>
      </c>
    </row>
    <row r="8" spans="1:12">
      <c r="A8" s="3">
        <v>4</v>
      </c>
      <c r="B8" s="11">
        <f>月度数据!D8</f>
        <v>285088.54</v>
      </c>
      <c r="C8" s="11">
        <f>月度数据!E8+月度数据!F8+月度数据!G8+月度数据!H8</f>
        <v>226765.13</v>
      </c>
      <c r="D8" s="12">
        <f t="shared" si="0"/>
        <v>58323.41</v>
      </c>
      <c r="E8" s="13">
        <f t="shared" si="1"/>
        <v>0.204579987676811</v>
      </c>
      <c r="F8" s="12">
        <f>D8/月度数据!B8</f>
        <v>18.7354352714423</v>
      </c>
      <c r="G8" s="12">
        <f>C8/月度数据!B8</f>
        <v>72.8445647285577</v>
      </c>
      <c r="H8" s="13">
        <f>SUM(D$5:D7)/SUM(B$5:B8)</f>
        <v>0.188684437191716</v>
      </c>
      <c r="I8" s="13">
        <f t="shared" si="3"/>
        <v>-0.63016951150304</v>
      </c>
      <c r="J8" s="12">
        <f>SUM(B$6:B8)</f>
        <v>2390821.94</v>
      </c>
      <c r="K8" s="12">
        <f>SUM(D$5:D7)</f>
        <v>631932.83</v>
      </c>
      <c r="L8" s="13">
        <f t="shared" si="2"/>
        <v>0.00582942289582796</v>
      </c>
    </row>
    <row r="9" spans="1:12">
      <c r="A9" s="3">
        <v>5</v>
      </c>
      <c r="B9" s="11">
        <f>月度数据!D9</f>
        <v>1074658.78</v>
      </c>
      <c r="C9" s="11">
        <f>月度数据!E9+月度数据!F9+月度数据!G9+月度数据!H9</f>
        <v>798910.08</v>
      </c>
      <c r="D9" s="12">
        <f t="shared" si="0"/>
        <v>275748.7</v>
      </c>
      <c r="E9" s="13">
        <f t="shared" si="1"/>
        <v>0.256591864442777</v>
      </c>
      <c r="F9" s="12">
        <f>D9/月度数据!B9</f>
        <v>99.1188713156003</v>
      </c>
      <c r="G9" s="12">
        <f>C9/月度数据!B9</f>
        <v>287.1711286844</v>
      </c>
      <c r="H9" s="13">
        <f>SUM(D$5:D8)/SUM(B$5:B9)</f>
        <v>0.156032050033824</v>
      </c>
      <c r="I9" s="13">
        <f t="shared" si="3"/>
        <v>2.76956148430239</v>
      </c>
      <c r="J9" s="12">
        <f>SUM(B$6:B9)</f>
        <v>3465480.72</v>
      </c>
      <c r="K9" s="12">
        <f>SUM(D$5:D8)</f>
        <v>690256.24</v>
      </c>
      <c r="L9" s="13">
        <f t="shared" si="2"/>
        <v>0.0275610734227439</v>
      </c>
    </row>
    <row r="10" spans="1:12">
      <c r="A10" s="3">
        <v>6</v>
      </c>
      <c r="B10" s="11">
        <f>月度数据!D10</f>
        <v>1071712.4</v>
      </c>
      <c r="C10" s="11">
        <f>月度数据!E10+月度数据!F10+月度数据!G10+月度数据!H10</f>
        <v>738100.38</v>
      </c>
      <c r="D10" s="12">
        <f t="shared" si="0"/>
        <v>333612.02</v>
      </c>
      <c r="E10" s="13">
        <f t="shared" si="1"/>
        <v>0.311288756199891</v>
      </c>
      <c r="F10" s="12">
        <f>D10/月度数据!B10</f>
        <v>130.725713166144</v>
      </c>
      <c r="G10" s="12">
        <f>C10/月度数据!B10</f>
        <v>289.224286833856</v>
      </c>
      <c r="H10" s="13">
        <f>SUM(D$5:D9)/SUM(B$5:B10)</f>
        <v>0.175780346380935</v>
      </c>
      <c r="I10" s="13">
        <f t="shared" si="3"/>
        <v>-0.00274168885494996</v>
      </c>
      <c r="J10" s="12">
        <f>SUM(B$6:B10)</f>
        <v>4537193.12</v>
      </c>
      <c r="K10" s="12">
        <f>SUM(D$5:D9)</f>
        <v>966004.94</v>
      </c>
      <c r="L10" s="13">
        <f t="shared" si="2"/>
        <v>0.0333445103383258</v>
      </c>
    </row>
    <row r="11" spans="1:12">
      <c r="A11" s="3">
        <v>7</v>
      </c>
      <c r="B11" s="11">
        <f>月度数据!D11</f>
        <v>544096.14</v>
      </c>
      <c r="C11" s="11">
        <f>月度数据!E11+月度数据!F11+月度数据!G11+月度数据!H11</f>
        <v>417832.08</v>
      </c>
      <c r="D11" s="12">
        <f t="shared" si="0"/>
        <v>126264.06</v>
      </c>
      <c r="E11" s="13">
        <f t="shared" si="1"/>
        <v>0.2320620396241</v>
      </c>
      <c r="F11" s="12">
        <f>D11/月度数据!B11</f>
        <v>72.0274158585283</v>
      </c>
      <c r="G11" s="12">
        <f>C11/月度数据!B11</f>
        <v>238.352584141472</v>
      </c>
      <c r="H11" s="13">
        <f>SUM(D$5:D10)/SUM(B$5:B11)</f>
        <v>0.215181938723434</v>
      </c>
      <c r="I11" s="13">
        <f t="shared" si="3"/>
        <v>-0.49231142608782</v>
      </c>
      <c r="J11" s="12">
        <f>SUM(B$6:B11)</f>
        <v>5081289.26</v>
      </c>
      <c r="K11" s="12">
        <f>SUM(D$5:D10)</f>
        <v>1299616.96</v>
      </c>
      <c r="L11" s="13">
        <f t="shared" si="2"/>
        <v>0.012620088610803</v>
      </c>
    </row>
    <row r="12" spans="1:12">
      <c r="A12" s="3">
        <v>8</v>
      </c>
      <c r="B12" s="11">
        <f>月度数据!D12</f>
        <v>876572.32</v>
      </c>
      <c r="C12" s="11">
        <f>月度数据!E12+月度数据!F12+月度数据!G12+月度数据!H12</f>
        <v>641538.01</v>
      </c>
      <c r="D12" s="12">
        <f t="shared" si="0"/>
        <v>235034.31</v>
      </c>
      <c r="E12" s="13">
        <f t="shared" si="1"/>
        <v>0.268128829347475</v>
      </c>
      <c r="F12" s="12">
        <f>D12/月度数据!B12</f>
        <v>123.832618545838</v>
      </c>
      <c r="G12" s="12">
        <f>C12/月度数据!B12</f>
        <v>338.007381454162</v>
      </c>
      <c r="H12" s="13">
        <f>SUM(D$5:D11)/SUM(B$5:B12)</f>
        <v>0.206165636698075</v>
      </c>
      <c r="I12" s="13">
        <f t="shared" si="3"/>
        <v>0.611061456896202</v>
      </c>
      <c r="J12" s="12">
        <f>SUM(B$6:B12)</f>
        <v>5957861.58</v>
      </c>
      <c r="K12" s="12">
        <f>SUM(D$5:D11)</f>
        <v>1425881.02</v>
      </c>
      <c r="L12" s="13">
        <f t="shared" si="2"/>
        <v>0.0234916714921011</v>
      </c>
    </row>
    <row r="13" spans="1:12">
      <c r="A13" s="3">
        <v>9</v>
      </c>
      <c r="B13" s="11">
        <f>月度数据!D13</f>
        <v>590312.8</v>
      </c>
      <c r="C13" s="11">
        <f>月度数据!E13+月度数据!F13+月度数据!G13+月度数据!H13</f>
        <v>443192.07</v>
      </c>
      <c r="D13" s="12">
        <f t="shared" si="0"/>
        <v>147120.73</v>
      </c>
      <c r="E13" s="13">
        <f t="shared" si="1"/>
        <v>0.249225037979864</v>
      </c>
      <c r="F13" s="12">
        <f>D13/月度数据!B13</f>
        <v>47.7664707792208</v>
      </c>
      <c r="G13" s="12">
        <f>C13/月度数据!B13</f>
        <v>143.893529220779</v>
      </c>
      <c r="H13" s="13">
        <f>SUM(D$5:D12)/SUM(B$5:B13)</f>
        <v>0.221263489374844</v>
      </c>
      <c r="I13" s="13">
        <f t="shared" si="3"/>
        <v>-0.326566916920215</v>
      </c>
      <c r="J13" s="12">
        <f>SUM(B$6:B13)</f>
        <v>6548174.38</v>
      </c>
      <c r="K13" s="12">
        <f>SUM(D$5:D12)</f>
        <v>1660915.33</v>
      </c>
      <c r="L13" s="13">
        <f t="shared" si="2"/>
        <v>0.0147047120858147</v>
      </c>
    </row>
    <row r="14" spans="1:12">
      <c r="A14" s="3">
        <v>10</v>
      </c>
      <c r="B14" s="11">
        <f>月度数据!D14</f>
        <v>675901.26</v>
      </c>
      <c r="C14" s="11">
        <f>月度数据!E14+月度数据!F14+月度数据!G14+月度数据!H14</f>
        <v>517928.74</v>
      </c>
      <c r="D14" s="12">
        <f t="shared" si="0"/>
        <v>157972.52</v>
      </c>
      <c r="E14" s="13">
        <f t="shared" si="1"/>
        <v>0.233721298285492</v>
      </c>
      <c r="F14" s="12">
        <f>D14/月度数据!B14</f>
        <v>67.2509663686675</v>
      </c>
      <c r="G14" s="12">
        <f>C14/月度数据!B14</f>
        <v>220.489033631332</v>
      </c>
      <c r="H14" s="13">
        <f>SUM(D$5:D13)/SUM(B$5:B14)</f>
        <v>0.22096632233166</v>
      </c>
      <c r="I14" s="13">
        <f t="shared" si="3"/>
        <v>0.144988318057816</v>
      </c>
      <c r="J14" s="12">
        <f>SUM(B$6:B14)</f>
        <v>7224075.64</v>
      </c>
      <c r="K14" s="12">
        <f>SUM(D$5:D13)</f>
        <v>1808036.06</v>
      </c>
      <c r="L14" s="13">
        <f t="shared" si="2"/>
        <v>0.0157893481365311</v>
      </c>
    </row>
    <row r="15" spans="1:12">
      <c r="A15" s="3">
        <v>11</v>
      </c>
      <c r="B15" s="11">
        <f>月度数据!D15</f>
        <v>1583001.6</v>
      </c>
      <c r="C15" s="11">
        <f>月度数据!E15+月度数据!F15+月度数据!G15+月度数据!H15</f>
        <v>1099359.38</v>
      </c>
      <c r="D15" s="12">
        <f t="shared" si="0"/>
        <v>483642.22</v>
      </c>
      <c r="E15" s="13">
        <f t="shared" si="1"/>
        <v>0.305522255947183</v>
      </c>
      <c r="F15" s="12">
        <f>D15/月度数据!B15</f>
        <v>125.948494791667</v>
      </c>
      <c r="G15" s="12">
        <f>C15/月度数据!B15</f>
        <v>286.291505208333</v>
      </c>
      <c r="H15" s="13">
        <f>SUM(D$5:D14)/SUM(B$5:B15)</f>
        <v>0.201323769896603</v>
      </c>
      <c r="I15" s="13">
        <f t="shared" si="3"/>
        <v>1.34206043646079</v>
      </c>
      <c r="J15" s="12">
        <f>SUM(B$6:B15)</f>
        <v>8807077.24</v>
      </c>
      <c r="K15" s="12">
        <f>SUM(D$5:D14)</f>
        <v>1966008.58</v>
      </c>
      <c r="L15" s="13">
        <f t="shared" si="2"/>
        <v>0.0483400238541791</v>
      </c>
    </row>
    <row r="16" spans="1:12">
      <c r="A16" s="3">
        <v>12</v>
      </c>
      <c r="B16" s="11">
        <f>月度数据!D16</f>
        <v>239598.68</v>
      </c>
      <c r="C16" s="11">
        <f>月度数据!E16+月度数据!F16+月度数据!G16+月度数据!H16</f>
        <v>176974.13</v>
      </c>
      <c r="D16" s="12">
        <f t="shared" si="0"/>
        <v>62624.55</v>
      </c>
      <c r="E16" s="13">
        <f t="shared" si="1"/>
        <v>0.261372683689242</v>
      </c>
      <c r="F16" s="12">
        <f>D16/月度数据!B16</f>
        <v>41.3909781890284</v>
      </c>
      <c r="G16" s="12">
        <f>C16/月度数据!B16</f>
        <v>116.969021810972</v>
      </c>
      <c r="H16" s="13">
        <f>SUM(D$5:D15)/SUM(B$5:B16)</f>
        <v>0.244842516243534</v>
      </c>
      <c r="I16" s="13">
        <f t="shared" si="3"/>
        <v>-0.84864280617278</v>
      </c>
      <c r="J16" s="12">
        <f>SUM(B$6:B16)</f>
        <v>9046675.92</v>
      </c>
      <c r="K16" s="12">
        <f>SUM(D$5:D15)</f>
        <v>2449650.8</v>
      </c>
      <c r="L16" s="13">
        <f t="shared" si="2"/>
        <v>0.00625932169622666</v>
      </c>
    </row>
    <row r="17" spans="1:12">
      <c r="A17" s="7" t="s">
        <v>34</v>
      </c>
      <c r="B17" s="15">
        <f>SUM(B5:B16)</f>
        <v>10005005.82</v>
      </c>
      <c r="C17" s="15">
        <f>SUM(C5:C16)</f>
        <v>7492730.47</v>
      </c>
      <c r="D17" s="15">
        <f>SUM(D5:D16)</f>
        <v>2512275.35</v>
      </c>
      <c r="E17" s="16">
        <f t="shared" si="1"/>
        <v>0.25110183793976</v>
      </c>
      <c r="F17" s="15">
        <f>D17/SUM(月度数据!B5:B16)</f>
        <v>81.3007782919646</v>
      </c>
      <c r="G17" s="15">
        <f>C16/SUM(月度数据!B5:B16)</f>
        <v>5.72713277887447</v>
      </c>
      <c r="L17" s="16">
        <f>SUM(L5:L16)</f>
        <v>0.25110183793976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17"/>
  <sheetViews>
    <sheetView workbookViewId="0">
      <selection activeCell="A1" sqref="A1"/>
    </sheetView>
  </sheetViews>
  <sheetFormatPr defaultColWidth="9" defaultRowHeight="13.5"/>
  <sheetData>
    <row r="4" spans="1:10">
      <c r="A4" s="2" t="s">
        <v>12</v>
      </c>
      <c r="B4" s="2" t="s">
        <v>20</v>
      </c>
      <c r="C4" s="2" t="s">
        <v>21</v>
      </c>
      <c r="D4" s="2" t="s">
        <v>19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</row>
    <row r="5" spans="1:10">
      <c r="A5" s="3">
        <v>1</v>
      </c>
      <c r="B5" s="11">
        <f>月度数据!I5</f>
        <v>75387.48</v>
      </c>
      <c r="C5" s="11">
        <f>月度数据!J5</f>
        <v>113994.84</v>
      </c>
      <c r="D5" s="11">
        <f>月度数据!H5</f>
        <v>50452.06</v>
      </c>
      <c r="E5" s="12">
        <f t="shared" ref="E5:E16" si="0">B5+C5+D5</f>
        <v>239834.38</v>
      </c>
      <c r="F5" s="13">
        <f>B5/毛利分析!B5</f>
        <v>0.0786654783493659</v>
      </c>
      <c r="G5" s="13">
        <f>C5/毛利分析!B5</f>
        <v>0.11895156354821</v>
      </c>
      <c r="H5" s="13">
        <f>E5/毛利分析!B5</f>
        <v>0.250262858333023</v>
      </c>
      <c r="I5" s="13" t="s">
        <v>33</v>
      </c>
      <c r="J5" s="12">
        <f>SUM(E$5:E5)</f>
        <v>239834.38</v>
      </c>
    </row>
    <row r="6" spans="1:10">
      <c r="A6" s="3">
        <v>2</v>
      </c>
      <c r="B6" s="11">
        <f>月度数据!I6</f>
        <v>80849.3</v>
      </c>
      <c r="C6" s="11">
        <f>月度数据!J6</f>
        <v>87256.1</v>
      </c>
      <c r="D6" s="11">
        <f>月度数据!H6</f>
        <v>74570.09</v>
      </c>
      <c r="E6" s="12">
        <f t="shared" si="0"/>
        <v>242675.49</v>
      </c>
      <c r="F6" s="13">
        <f>B6/毛利分析!B6</f>
        <v>0.060567140935084</v>
      </c>
      <c r="G6" s="13">
        <f>C6/毛利分析!B6</f>
        <v>0.0653667070233853</v>
      </c>
      <c r="H6" s="13">
        <f>E6/毛利分析!B6</f>
        <v>0.181797005098629</v>
      </c>
      <c r="I6" s="13">
        <f t="shared" ref="I6:I16" si="1">E6/E5-1</f>
        <v>0.0118461331523863</v>
      </c>
      <c r="J6" s="12">
        <f>SUM(E$5:E6)</f>
        <v>482509.87</v>
      </c>
    </row>
    <row r="7" spans="1:10">
      <c r="A7" s="3">
        <v>3</v>
      </c>
      <c r="B7" s="11">
        <f>月度数据!I7</f>
        <v>65705.81</v>
      </c>
      <c r="C7" s="11">
        <f>月度数据!J7</f>
        <v>89620.23</v>
      </c>
      <c r="D7" s="11">
        <f>月度数据!H7</f>
        <v>38875.47</v>
      </c>
      <c r="E7" s="12">
        <f t="shared" si="0"/>
        <v>194201.51</v>
      </c>
      <c r="F7" s="13">
        <f>B7/毛利分析!B7</f>
        <v>0.0852367191237797</v>
      </c>
      <c r="G7" s="13">
        <f>C7/毛利分析!B7</f>
        <v>0.116259648459071</v>
      </c>
      <c r="H7" s="13">
        <f>E7/毛利分析!B7</f>
        <v>0.251927486492958</v>
      </c>
      <c r="I7" s="13">
        <f t="shared" si="1"/>
        <v>-0.199748149267155</v>
      </c>
      <c r="J7" s="12">
        <f>SUM(E$5:E7)</f>
        <v>676711.38</v>
      </c>
    </row>
    <row r="8" spans="1:10">
      <c r="A8" s="3">
        <v>4</v>
      </c>
      <c r="B8" s="11">
        <f>月度数据!I8</f>
        <v>20681.89</v>
      </c>
      <c r="C8" s="11">
        <f>月度数据!J8</f>
        <v>29149.81</v>
      </c>
      <c r="D8" s="11">
        <f>月度数据!H8</f>
        <v>15343.18</v>
      </c>
      <c r="E8" s="12">
        <f t="shared" si="0"/>
        <v>65174.88</v>
      </c>
      <c r="F8" s="13">
        <f>B8/毛利分析!B8</f>
        <v>0.0725454976197921</v>
      </c>
      <c r="G8" s="13">
        <f>C8/毛利分析!B8</f>
        <v>0.102248269958519</v>
      </c>
      <c r="H8" s="13">
        <f>E8/毛利分析!B8</f>
        <v>0.22861276710737</v>
      </c>
      <c r="I8" s="13">
        <f t="shared" si="1"/>
        <v>-0.664395606398735</v>
      </c>
      <c r="J8" s="12">
        <f>SUM(E$5:E8)</f>
        <v>741886.26</v>
      </c>
    </row>
    <row r="9" spans="1:10">
      <c r="A9" s="3">
        <v>5</v>
      </c>
      <c r="B9" s="11">
        <f>月度数据!I9</f>
        <v>67340.15</v>
      </c>
      <c r="C9" s="11">
        <f>月度数据!J9</f>
        <v>106940.62</v>
      </c>
      <c r="D9" s="11">
        <f>月度数据!H9</f>
        <v>55142.97</v>
      </c>
      <c r="E9" s="12">
        <f t="shared" si="0"/>
        <v>229423.74</v>
      </c>
      <c r="F9" s="13">
        <f>B9/毛利分析!B9</f>
        <v>0.0626618897581612</v>
      </c>
      <c r="G9" s="13">
        <f>C9/毛利分析!B9</f>
        <v>0.0995112327654365</v>
      </c>
      <c r="H9" s="13">
        <f>E9/毛利分析!B9</f>
        <v>0.21348519573813</v>
      </c>
      <c r="I9" s="13">
        <f t="shared" si="1"/>
        <v>2.52012523843542</v>
      </c>
      <c r="J9" s="12">
        <f>SUM(E$5:E9)</f>
        <v>971310</v>
      </c>
    </row>
    <row r="10" spans="1:10">
      <c r="A10" s="3">
        <v>6</v>
      </c>
      <c r="B10" s="11">
        <f>月度数据!I10</f>
        <v>63070.73</v>
      </c>
      <c r="C10" s="11">
        <f>月度数据!J10</f>
        <v>118690.07</v>
      </c>
      <c r="D10" s="11">
        <f>月度数据!H10</f>
        <v>42559.01</v>
      </c>
      <c r="E10" s="12">
        <f t="shared" si="0"/>
        <v>224319.81</v>
      </c>
      <c r="F10" s="13">
        <f>B10/毛利分析!B10</f>
        <v>0.0588504247968018</v>
      </c>
      <c r="G10" s="13">
        <f>C10/毛利分析!B10</f>
        <v>0.110748060767049</v>
      </c>
      <c r="H10" s="13">
        <f>E10/毛利分析!B10</f>
        <v>0.20930970846283</v>
      </c>
      <c r="I10" s="13">
        <f t="shared" si="1"/>
        <v>-0.0222467387202386</v>
      </c>
      <c r="J10" s="12">
        <f>SUM(E$5:E10)</f>
        <v>1195629.81</v>
      </c>
    </row>
    <row r="11" spans="1:10">
      <c r="A11" s="3">
        <v>7</v>
      </c>
      <c r="B11" s="11">
        <f>月度数据!I11</f>
        <v>32744.03</v>
      </c>
      <c r="C11" s="11">
        <f>月度数据!J11</f>
        <v>48516.44</v>
      </c>
      <c r="D11" s="11">
        <f>月度数据!H11</f>
        <v>19503.16</v>
      </c>
      <c r="E11" s="12">
        <f t="shared" si="0"/>
        <v>100763.63</v>
      </c>
      <c r="F11" s="13">
        <f>B11/毛利分析!B11</f>
        <v>0.0601805960248128</v>
      </c>
      <c r="G11" s="13">
        <f>C11/毛利分析!B11</f>
        <v>0.0891688737214714</v>
      </c>
      <c r="H11" s="13">
        <f>E11/毛利分析!B11</f>
        <v>0.185194531981058</v>
      </c>
      <c r="I11" s="13">
        <f t="shared" si="1"/>
        <v>-0.550803694065183</v>
      </c>
      <c r="J11" s="12">
        <f>SUM(E$5:E11)</f>
        <v>1296393.44</v>
      </c>
    </row>
    <row r="12" spans="1:10">
      <c r="A12" s="3">
        <v>8</v>
      </c>
      <c r="B12" s="11">
        <f>月度数据!I12</f>
        <v>65180.03</v>
      </c>
      <c r="C12" s="11">
        <f>月度数据!J12</f>
        <v>91385.21</v>
      </c>
      <c r="D12" s="11">
        <f>月度数据!H12</f>
        <v>29000.92</v>
      </c>
      <c r="E12" s="12">
        <f t="shared" si="0"/>
        <v>185566.16</v>
      </c>
      <c r="F12" s="13">
        <f>B12/毛利分析!B12</f>
        <v>0.0743578464809384</v>
      </c>
      <c r="G12" s="13">
        <f>C12/毛利分析!B12</f>
        <v>0.1042529040844</v>
      </c>
      <c r="H12" s="13">
        <f>E12/毛利分析!B12</f>
        <v>0.211695208445551</v>
      </c>
      <c r="I12" s="13">
        <f t="shared" si="1"/>
        <v>0.841598600606191</v>
      </c>
      <c r="J12" s="12">
        <f>SUM(E$5:E12)</f>
        <v>1481959.6</v>
      </c>
    </row>
    <row r="13" spans="1:10">
      <c r="A13" s="3">
        <v>9</v>
      </c>
      <c r="B13" s="11">
        <f>月度数据!I13</f>
        <v>30189.93</v>
      </c>
      <c r="C13" s="11">
        <f>月度数据!J13</f>
        <v>40359.67</v>
      </c>
      <c r="D13" s="11">
        <f>月度数据!H13</f>
        <v>30219.33</v>
      </c>
      <c r="E13" s="12">
        <f t="shared" si="0"/>
        <v>100768.93</v>
      </c>
      <c r="F13" s="13">
        <f>B13/毛利分析!B13</f>
        <v>0.051142258816004</v>
      </c>
      <c r="G13" s="13">
        <f>C13/毛利分析!B13</f>
        <v>0.0683699726653395</v>
      </c>
      <c r="H13" s="13">
        <f>E13/毛利分析!B13</f>
        <v>0.170704294401206</v>
      </c>
      <c r="I13" s="13">
        <f t="shared" si="1"/>
        <v>-0.456964944470479</v>
      </c>
      <c r="J13" s="12">
        <f>SUM(E$5:E13)</f>
        <v>1582728.53</v>
      </c>
    </row>
    <row r="14" spans="1:10">
      <c r="A14" s="3">
        <v>10</v>
      </c>
      <c r="B14" s="11">
        <f>月度数据!I14</f>
        <v>40399.2</v>
      </c>
      <c r="C14" s="11">
        <f>月度数据!J14</f>
        <v>76687.24</v>
      </c>
      <c r="D14" s="11">
        <f>月度数据!H14</f>
        <v>31899.98</v>
      </c>
      <c r="E14" s="12">
        <f t="shared" si="0"/>
        <v>148986.42</v>
      </c>
      <c r="F14" s="13">
        <f>B14/毛利分析!B14</f>
        <v>0.0597708606135754</v>
      </c>
      <c r="G14" s="13">
        <f>C14/毛利分析!B14</f>
        <v>0.113459235155147</v>
      </c>
      <c r="H14" s="13">
        <f>E14/毛利分析!B14</f>
        <v>0.220426309014426</v>
      </c>
      <c r="I14" s="13">
        <f t="shared" si="1"/>
        <v>0.478495603754054</v>
      </c>
      <c r="J14" s="12">
        <f>SUM(E$5:E14)</f>
        <v>1731714.95</v>
      </c>
    </row>
    <row r="15" spans="1:10">
      <c r="A15" s="3">
        <v>11</v>
      </c>
      <c r="B15" s="11">
        <f>月度数据!I15</f>
        <v>138263.59</v>
      </c>
      <c r="C15" s="11">
        <f>月度数据!J15</f>
        <v>117506.71</v>
      </c>
      <c r="D15" s="11">
        <f>月度数据!H15</f>
        <v>68541.69</v>
      </c>
      <c r="E15" s="12">
        <f t="shared" si="0"/>
        <v>324311.99</v>
      </c>
      <c r="F15" s="13">
        <f>B15/毛利分析!B15</f>
        <v>0.0873426723005207</v>
      </c>
      <c r="G15" s="13">
        <f>C15/毛利分析!B15</f>
        <v>0.0742303166339188</v>
      </c>
      <c r="H15" s="13">
        <f>E15/毛利分析!B15</f>
        <v>0.204871549087506</v>
      </c>
      <c r="I15" s="13">
        <f t="shared" si="1"/>
        <v>1.17678893150127</v>
      </c>
      <c r="J15" s="12">
        <f>SUM(E$5:E15)</f>
        <v>2056026.94</v>
      </c>
    </row>
    <row r="16" spans="1:10">
      <c r="A16" s="3">
        <v>12</v>
      </c>
      <c r="B16" s="11">
        <f>月度数据!I16</f>
        <v>20067.96</v>
      </c>
      <c r="C16" s="11">
        <f>月度数据!J16</f>
        <v>15751.22</v>
      </c>
      <c r="D16" s="11">
        <f>月度数据!H16</f>
        <v>9022.21</v>
      </c>
      <c r="E16" s="12">
        <f t="shared" si="0"/>
        <v>44841.39</v>
      </c>
      <c r="F16" s="13">
        <f>B16/毛利分析!B16</f>
        <v>0.0837565549192508</v>
      </c>
      <c r="G16" s="13">
        <f>C16/毛利分析!B16</f>
        <v>0.0657400115893794</v>
      </c>
      <c r="H16" s="13">
        <f>E16/毛利分析!B16</f>
        <v>0.18715207446051</v>
      </c>
      <c r="I16" s="13">
        <f t="shared" si="1"/>
        <v>-0.861733789120778</v>
      </c>
      <c r="J16" s="12">
        <f>SUM(E$5:E16)</f>
        <v>2100868.33</v>
      </c>
    </row>
    <row r="17" spans="1:10">
      <c r="A17" s="7" t="s">
        <v>34</v>
      </c>
      <c r="B17" s="15">
        <f>SUM(B5:B16)</f>
        <v>699880.1</v>
      </c>
      <c r="C17" s="15">
        <f>SUM(C5:C16)</f>
        <v>935858.16</v>
      </c>
      <c r="D17" s="15">
        <f>SUM(D5:D16)</f>
        <v>465130.07</v>
      </c>
      <c r="E17" s="15">
        <f>SUM(E5:E16)</f>
        <v>2100868.33</v>
      </c>
      <c r="F17" s="16">
        <f>C17/B17</f>
        <v>1.33716926656437</v>
      </c>
      <c r="G17" s="16">
        <f>C17/毛利分析!B17</f>
        <v>0.0935389920642745</v>
      </c>
      <c r="H17" s="16">
        <f>E17/毛利分析!B17</f>
        <v>0.209981719930674</v>
      </c>
      <c r="J17">
        <f>SUM(E5:E16)</f>
        <v>2100868.33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K18"/>
  <sheetViews>
    <sheetView workbookViewId="0">
      <selection activeCell="A1" sqref="A1"/>
    </sheetView>
  </sheetViews>
  <sheetFormatPr defaultColWidth="9" defaultRowHeight="13.5"/>
  <sheetData>
    <row r="4" spans="1:11">
      <c r="A4" s="2" t="s">
        <v>12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</row>
    <row r="5" spans="1:11">
      <c r="A5" s="3">
        <v>1</v>
      </c>
      <c r="B5" s="10">
        <v>931616.66</v>
      </c>
      <c r="C5" s="11">
        <f>毛利分析!B5</f>
        <v>958329.9</v>
      </c>
      <c r="D5" s="12">
        <f t="shared" ref="D5:D16" si="0">C5-B5</f>
        <v>26713.24</v>
      </c>
      <c r="E5" s="10">
        <v>199286.16</v>
      </c>
      <c r="F5" s="11">
        <f>毛利分析!D5</f>
        <v>176777.22</v>
      </c>
      <c r="G5" s="12">
        <f t="shared" ref="G5:G17" si="1">F5-E5</f>
        <v>-22508.9400000001</v>
      </c>
      <c r="H5" s="13">
        <f t="shared" ref="H5:H17" si="2">C5/B5</f>
        <v>1.02867406858095</v>
      </c>
      <c r="I5" s="13">
        <f t="shared" ref="I5:I17" si="3">F5/E5</f>
        <v>0.887052166593003</v>
      </c>
      <c r="J5" s="14" t="str">
        <f t="shared" ref="J5:J16" si="4">IF(H5&gt;=1,"达成","未达成")</f>
        <v>达成</v>
      </c>
      <c r="K5" s="13">
        <f t="shared" ref="K5:K17" si="5">D5/B5</f>
        <v>0.0286740685809547</v>
      </c>
    </row>
    <row r="6" spans="1:11">
      <c r="A6" s="3">
        <v>2</v>
      </c>
      <c r="B6" s="10">
        <v>1210874.54</v>
      </c>
      <c r="C6" s="11">
        <f>毛利分析!B6</f>
        <v>1334870.67</v>
      </c>
      <c r="D6" s="12">
        <f t="shared" si="0"/>
        <v>123996.13</v>
      </c>
      <c r="E6" s="10">
        <v>273976.01</v>
      </c>
      <c r="F6" s="11">
        <f>毛利分析!D6</f>
        <v>272146.26</v>
      </c>
      <c r="G6" s="12">
        <f t="shared" si="1"/>
        <v>-1829.75</v>
      </c>
      <c r="H6" s="13">
        <f t="shared" si="2"/>
        <v>1.10240212829977</v>
      </c>
      <c r="I6" s="13">
        <f t="shared" si="3"/>
        <v>0.99332149555722</v>
      </c>
      <c r="J6" s="14" t="str">
        <f t="shared" si="4"/>
        <v>达成</v>
      </c>
      <c r="K6" s="13">
        <f t="shared" si="5"/>
        <v>0.102402128299766</v>
      </c>
    </row>
    <row r="7" spans="1:11">
      <c r="A7" s="3">
        <v>3</v>
      </c>
      <c r="B7" s="10">
        <v>790050.99</v>
      </c>
      <c r="C7" s="11">
        <f>毛利分析!B7</f>
        <v>770862.73</v>
      </c>
      <c r="D7" s="12">
        <f t="shared" si="0"/>
        <v>-19188.26</v>
      </c>
      <c r="E7" s="10">
        <v>166134</v>
      </c>
      <c r="F7" s="11">
        <f>毛利分析!D7</f>
        <v>183009.35</v>
      </c>
      <c r="G7" s="12">
        <f t="shared" si="1"/>
        <v>16875.35</v>
      </c>
      <c r="H7" s="13">
        <f t="shared" si="2"/>
        <v>0.975712630902469</v>
      </c>
      <c r="I7" s="13">
        <f t="shared" si="3"/>
        <v>1.10157673925867</v>
      </c>
      <c r="J7" s="14" t="str">
        <f t="shared" si="4"/>
        <v>未达成</v>
      </c>
      <c r="K7" s="13">
        <f t="shared" si="5"/>
        <v>-0.0242873690975313</v>
      </c>
    </row>
    <row r="8" spans="1:11">
      <c r="A8" s="3">
        <v>4</v>
      </c>
      <c r="B8" s="10">
        <v>251487.97</v>
      </c>
      <c r="C8" s="11">
        <f>毛利分析!B8</f>
        <v>285088.54</v>
      </c>
      <c r="D8" s="12">
        <f t="shared" si="0"/>
        <v>33600.57</v>
      </c>
      <c r="E8" s="10">
        <v>63203.7</v>
      </c>
      <c r="F8" s="11">
        <f>毛利分析!D8</f>
        <v>58323.41</v>
      </c>
      <c r="G8" s="12">
        <f t="shared" si="1"/>
        <v>-4880.28999999999</v>
      </c>
      <c r="H8" s="13">
        <f t="shared" si="2"/>
        <v>1.13360706677142</v>
      </c>
      <c r="I8" s="13">
        <f t="shared" si="3"/>
        <v>0.922784742032508</v>
      </c>
      <c r="J8" s="14" t="str">
        <f t="shared" si="4"/>
        <v>达成</v>
      </c>
      <c r="K8" s="13">
        <f t="shared" si="5"/>
        <v>0.133607066771424</v>
      </c>
    </row>
    <row r="9" spans="1:11">
      <c r="A9" s="3">
        <v>5</v>
      </c>
      <c r="B9" s="10">
        <v>1007513.9</v>
      </c>
      <c r="C9" s="11">
        <f>毛利分析!B9</f>
        <v>1074658.78</v>
      </c>
      <c r="D9" s="12">
        <f t="shared" si="0"/>
        <v>67144.88</v>
      </c>
      <c r="E9" s="10">
        <v>303840.38</v>
      </c>
      <c r="F9" s="11">
        <f>毛利分析!D9</f>
        <v>275748.7</v>
      </c>
      <c r="G9" s="12">
        <f t="shared" si="1"/>
        <v>-28091.6799999999</v>
      </c>
      <c r="H9" s="13">
        <f t="shared" si="2"/>
        <v>1.06664412272625</v>
      </c>
      <c r="I9" s="13">
        <f t="shared" si="3"/>
        <v>0.907544612733831</v>
      </c>
      <c r="J9" s="14" t="str">
        <f t="shared" si="4"/>
        <v>达成</v>
      </c>
      <c r="K9" s="13">
        <f t="shared" si="5"/>
        <v>0.0666441227262473</v>
      </c>
    </row>
    <row r="10" spans="1:11">
      <c r="A10" s="3">
        <v>6</v>
      </c>
      <c r="B10" s="10">
        <v>1036689.17</v>
      </c>
      <c r="C10" s="11">
        <f>毛利分析!B10</f>
        <v>1071712.4</v>
      </c>
      <c r="D10" s="12">
        <f t="shared" si="0"/>
        <v>35023.2299999999</v>
      </c>
      <c r="E10" s="10">
        <v>364151.41</v>
      </c>
      <c r="F10" s="11">
        <f>毛利分析!D10</f>
        <v>333612.02</v>
      </c>
      <c r="G10" s="12">
        <f t="shared" si="1"/>
        <v>-30539.3900000001</v>
      </c>
      <c r="H10" s="13">
        <f t="shared" si="2"/>
        <v>1.03378373288109</v>
      </c>
      <c r="I10" s="13">
        <f t="shared" si="3"/>
        <v>0.916135461345598</v>
      </c>
      <c r="J10" s="14" t="str">
        <f t="shared" si="4"/>
        <v>达成</v>
      </c>
      <c r="K10" s="13">
        <f t="shared" si="5"/>
        <v>0.0337837328810909</v>
      </c>
    </row>
    <row r="11" spans="1:11">
      <c r="A11" s="3">
        <v>7</v>
      </c>
      <c r="B11" s="10">
        <v>613136.51</v>
      </c>
      <c r="C11" s="11">
        <f>毛利分析!B11</f>
        <v>544096.14</v>
      </c>
      <c r="D11" s="12">
        <f t="shared" si="0"/>
        <v>-69040.37</v>
      </c>
      <c r="E11" s="10">
        <v>120725.89</v>
      </c>
      <c r="F11" s="11">
        <f>毛利分析!D11</f>
        <v>126264.06</v>
      </c>
      <c r="G11" s="12">
        <f t="shared" si="1"/>
        <v>5538.17000000006</v>
      </c>
      <c r="H11" s="13">
        <f t="shared" si="2"/>
        <v>0.88739804452356</v>
      </c>
      <c r="I11" s="13">
        <f t="shared" si="3"/>
        <v>1.04587392149273</v>
      </c>
      <c r="J11" s="14" t="str">
        <f t="shared" si="4"/>
        <v>未达成</v>
      </c>
      <c r="K11" s="13">
        <f t="shared" si="5"/>
        <v>-0.11260195547644</v>
      </c>
    </row>
    <row r="12" spans="1:11">
      <c r="A12" s="3">
        <v>8</v>
      </c>
      <c r="B12" s="10">
        <v>754261.61</v>
      </c>
      <c r="C12" s="11">
        <f>毛利分析!B12</f>
        <v>876572.32</v>
      </c>
      <c r="D12" s="12">
        <f t="shared" si="0"/>
        <v>122310.71</v>
      </c>
      <c r="E12" s="10">
        <v>225699.35</v>
      </c>
      <c r="F12" s="11">
        <f>毛利分析!D12</f>
        <v>235034.31</v>
      </c>
      <c r="G12" s="12">
        <f t="shared" si="1"/>
        <v>9334.95999999982</v>
      </c>
      <c r="H12" s="13">
        <f t="shared" si="2"/>
        <v>1.16215953242006</v>
      </c>
      <c r="I12" s="13">
        <f t="shared" si="3"/>
        <v>1.04136015455959</v>
      </c>
      <c r="J12" s="14" t="str">
        <f t="shared" si="4"/>
        <v>达成</v>
      </c>
      <c r="K12" s="13">
        <f t="shared" si="5"/>
        <v>0.162159532420058</v>
      </c>
    </row>
    <row r="13" spans="1:11">
      <c r="A13" s="3">
        <v>9</v>
      </c>
      <c r="B13" s="10">
        <v>561725.3</v>
      </c>
      <c r="C13" s="11">
        <f>毛利分析!B13</f>
        <v>590312.8</v>
      </c>
      <c r="D13" s="12">
        <f t="shared" si="0"/>
        <v>28587.5</v>
      </c>
      <c r="E13" s="10">
        <v>159996.26</v>
      </c>
      <c r="F13" s="11">
        <f>毛利分析!D13</f>
        <v>147120.73</v>
      </c>
      <c r="G13" s="12">
        <f t="shared" si="1"/>
        <v>-12875.53</v>
      </c>
      <c r="H13" s="13">
        <f t="shared" si="2"/>
        <v>1.05089231337809</v>
      </c>
      <c r="I13" s="13">
        <f t="shared" si="3"/>
        <v>0.919526056421569</v>
      </c>
      <c r="J13" s="14" t="str">
        <f t="shared" si="4"/>
        <v>达成</v>
      </c>
      <c r="K13" s="13">
        <f t="shared" si="5"/>
        <v>0.0508923133780871</v>
      </c>
    </row>
    <row r="14" spans="1:11">
      <c r="A14" s="3">
        <v>10</v>
      </c>
      <c r="B14" s="10">
        <v>712558.52</v>
      </c>
      <c r="C14" s="11">
        <f>毛利分析!B14</f>
        <v>675901.26</v>
      </c>
      <c r="D14" s="12">
        <f t="shared" si="0"/>
        <v>-36657.26</v>
      </c>
      <c r="E14" s="10">
        <v>159159.78</v>
      </c>
      <c r="F14" s="11">
        <f>毛利分析!D14</f>
        <v>157972.52</v>
      </c>
      <c r="G14" s="12">
        <f t="shared" si="1"/>
        <v>-1187.25999999998</v>
      </c>
      <c r="H14" s="13">
        <f t="shared" si="2"/>
        <v>0.948555439348336</v>
      </c>
      <c r="I14" s="13">
        <f t="shared" si="3"/>
        <v>0.992540452116735</v>
      </c>
      <c r="J14" s="14" t="str">
        <f t="shared" si="4"/>
        <v>未达成</v>
      </c>
      <c r="K14" s="13">
        <f t="shared" si="5"/>
        <v>-0.0514445606516641</v>
      </c>
    </row>
    <row r="15" spans="1:11">
      <c r="A15" s="3">
        <v>11</v>
      </c>
      <c r="B15" s="10">
        <v>1767045</v>
      </c>
      <c r="C15" s="11">
        <f>毛利分析!B15</f>
        <v>1583001.6</v>
      </c>
      <c r="D15" s="12">
        <f t="shared" si="0"/>
        <v>-184043.4</v>
      </c>
      <c r="E15" s="10">
        <v>462475.22</v>
      </c>
      <c r="F15" s="11">
        <f>毛利分析!D15</f>
        <v>483642.22</v>
      </c>
      <c r="G15" s="12">
        <f t="shared" si="1"/>
        <v>21167.0000000002</v>
      </c>
      <c r="H15" s="13">
        <f t="shared" si="2"/>
        <v>0.895846795073131</v>
      </c>
      <c r="I15" s="13">
        <f t="shared" si="3"/>
        <v>1.045768938712</v>
      </c>
      <c r="J15" s="14" t="str">
        <f t="shared" si="4"/>
        <v>未达成</v>
      </c>
      <c r="K15" s="13">
        <f t="shared" si="5"/>
        <v>-0.104153204926869</v>
      </c>
    </row>
    <row r="16" spans="1:11">
      <c r="A16" s="3">
        <v>12</v>
      </c>
      <c r="B16" s="10">
        <v>248958.34</v>
      </c>
      <c r="C16" s="11">
        <f>毛利分析!B16</f>
        <v>239598.68</v>
      </c>
      <c r="D16" s="12">
        <f t="shared" si="0"/>
        <v>-9359.66</v>
      </c>
      <c r="E16" s="10">
        <v>69028.48</v>
      </c>
      <c r="F16" s="11">
        <f>毛利分析!D16</f>
        <v>62624.55</v>
      </c>
      <c r="G16" s="12">
        <f t="shared" si="1"/>
        <v>-6403.93000000001</v>
      </c>
      <c r="H16" s="13">
        <f t="shared" si="2"/>
        <v>0.962404713977447</v>
      </c>
      <c r="I16" s="13">
        <f t="shared" si="3"/>
        <v>0.907227712387698</v>
      </c>
      <c r="J16" s="14" t="str">
        <f t="shared" si="4"/>
        <v>未达成</v>
      </c>
      <c r="K16" s="13">
        <f t="shared" si="5"/>
        <v>-0.037595286022553</v>
      </c>
    </row>
    <row r="17" spans="1:11">
      <c r="A17" s="7" t="s">
        <v>34</v>
      </c>
      <c r="B17" s="15">
        <f>SUM(B5:B16)</f>
        <v>9885918.51</v>
      </c>
      <c r="C17" s="15">
        <f>SUM(C5:C16)</f>
        <v>10005005.82</v>
      </c>
      <c r="D17" s="15">
        <f>B17-C17</f>
        <v>-119087.309999999</v>
      </c>
      <c r="E17" s="15">
        <f>SUM(E5:E16)</f>
        <v>2567676.64</v>
      </c>
      <c r="F17" s="15">
        <f>SUM(F5:F16)</f>
        <v>2512275.35</v>
      </c>
      <c r="G17" s="15">
        <f t="shared" si="1"/>
        <v>-55401.2900000005</v>
      </c>
      <c r="H17" s="16">
        <f t="shared" si="2"/>
        <v>1.01204615533494</v>
      </c>
      <c r="I17" s="16">
        <f t="shared" si="3"/>
        <v>0.978423572058513</v>
      </c>
      <c r="K17" s="16">
        <f t="shared" si="5"/>
        <v>-0.012046155334938</v>
      </c>
    </row>
    <row r="18" spans="1:11">
      <c r="A18" s="17" t="s">
        <v>51</v>
      </c>
      <c r="B18" s="8">
        <f>COUNTIF(J5:J16,"未达成")</f>
        <v>5</v>
      </c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"/>
    </sheetView>
  </sheetViews>
  <sheetFormatPr defaultColWidth="9" defaultRowHeight="13.5" outlineLevelCol="3"/>
  <sheetData>
    <row r="1" ht="15" spans="1:4">
      <c r="A1" s="1" t="s">
        <v>52</v>
      </c>
    </row>
    <row r="3" spans="1:4">
      <c r="A3" s="2" t="s">
        <v>53</v>
      </c>
      <c r="B3" s="2" t="s">
        <v>54</v>
      </c>
      <c r="C3" s="2" t="s">
        <v>55</v>
      </c>
      <c r="D3" s="2" t="s">
        <v>56</v>
      </c>
    </row>
    <row r="4" spans="1:4">
      <c r="A4" s="3">
        <v>1</v>
      </c>
      <c r="B4" s="4" t="s">
        <v>57</v>
      </c>
      <c r="C4" s="5" t="b">
        <f>ABS(毛利分析!B17-SUM(月度数据!D5:D16))&lt;0.01</f>
        <v>1</v>
      </c>
      <c r="D4" s="4" t="s">
        <v>58</v>
      </c>
    </row>
    <row r="5" spans="1:4">
      <c r="A5" s="3">
        <v>2</v>
      </c>
      <c r="B5" s="4" t="s">
        <v>59</v>
      </c>
      <c r="C5" s="5" t="b">
        <f>ABS(毛利分析!C17-SUM(月度数据!E5:H16))&lt;0.01</f>
        <v>1</v>
      </c>
      <c r="D5" s="4" t="s">
        <v>60</v>
      </c>
    </row>
    <row r="6" spans="1:4">
      <c r="A6" s="3">
        <v>3</v>
      </c>
      <c r="B6" s="4" t="s">
        <v>61</v>
      </c>
      <c r="C6" s="5" t="b">
        <f>ABS(毛利分析!D17-(毛利分析!B17-毛利分析!C17))&lt;0.01</f>
        <v>1</v>
      </c>
      <c r="D6" s="4" t="s">
        <v>62</v>
      </c>
    </row>
    <row r="7" spans="1:4">
      <c r="A7" s="3">
        <v>4</v>
      </c>
      <c r="B7" s="4" t="s">
        <v>63</v>
      </c>
      <c r="C7" s="5" t="b">
        <f>ABS(毛利分析!J16-毛利分析!B17)&lt;0.01</f>
        <v>0</v>
      </c>
      <c r="D7" s="4" t="s">
        <v>64</v>
      </c>
    </row>
    <row r="8" spans="1:4">
      <c r="A8" s="3">
        <v>5</v>
      </c>
      <c r="B8" s="4" t="s">
        <v>65</v>
      </c>
      <c r="C8" s="5" t="b">
        <f>ABS(毛利分析!F17-(毛利分析!B17/SUM(月度数据!B5:B16)-毛利分析!G17))&lt;0.0001</f>
        <v>0</v>
      </c>
      <c r="D8" s="4" t="s">
        <v>66</v>
      </c>
    </row>
    <row r="9" spans="1:4">
      <c r="A9" s="3">
        <v>6</v>
      </c>
      <c r="B9" s="4" t="s">
        <v>67</v>
      </c>
      <c r="C9" s="5" t="b">
        <f>ABS(费用分析!F17-费用分析!B17/毛利分析!B17)&lt;0.0001</f>
        <v>0</v>
      </c>
      <c r="D9" s="4" t="s">
        <v>68</v>
      </c>
    </row>
    <row r="10" spans="1:4">
      <c r="A10" s="3">
        <v>7</v>
      </c>
      <c r="B10" s="4" t="s">
        <v>69</v>
      </c>
      <c r="C10" s="5" t="b">
        <f>ABS(毛利分析!K16-毛利分析!D17)&lt;0.01</f>
        <v>0</v>
      </c>
      <c r="D10" s="4" t="s">
        <v>70</v>
      </c>
    </row>
    <row r="11" spans="1:4">
      <c r="A11" s="3">
        <v>8</v>
      </c>
      <c r="B11" s="4" t="s">
        <v>71</v>
      </c>
      <c r="C11" s="5" t="b">
        <f>ABS(预算对比!D17-(预算对比!C17-预算对比!B17))&lt;0.01</f>
        <v>0</v>
      </c>
      <c r="D11" s="4" t="s">
        <v>72</v>
      </c>
    </row>
    <row r="12" spans="1:4">
      <c r="A12" s="3">
        <v>9</v>
      </c>
      <c r="B12" s="4" t="s">
        <v>73</v>
      </c>
      <c r="C12" s="5" t="b">
        <f>ABS(毛利分析!E17-(1-毛利分析!C17/毛利分析!B17))&lt;0.0001</f>
        <v>1</v>
      </c>
      <c r="D12" s="4" t="s">
        <v>74</v>
      </c>
    </row>
    <row r="13" spans="1:4">
      <c r="A13" s="3">
        <v>10</v>
      </c>
      <c r="B13" s="4" t="s">
        <v>75</v>
      </c>
      <c r="C13" s="5" t="b">
        <f>ABS(毛利分析!H16-毛利分析!E17)&lt;0.0005</f>
        <v>0</v>
      </c>
      <c r="D13" s="4" t="s">
        <v>76</v>
      </c>
    </row>
    <row r="14" spans="1:4">
      <c r="A14" s="3">
        <v>11</v>
      </c>
      <c r="B14" s="4" t="s">
        <v>77</v>
      </c>
      <c r="C14" s="5" t="b">
        <f>ABS(毛利分析!I6-(月度数据!D6/月度数据!D5-1))&lt;0.0001</f>
        <v>0</v>
      </c>
      <c r="D14" s="4" t="s">
        <v>78</v>
      </c>
    </row>
    <row r="15" spans="1:4">
      <c r="A15" s="3">
        <v>12</v>
      </c>
      <c r="B15" s="4" t="s">
        <v>79</v>
      </c>
      <c r="C15" s="5" t="b">
        <f>COUNTIF(预算对比!J5:J16,"达成")=预算对比!B18</f>
        <v>0</v>
      </c>
      <c r="D15" s="4" t="s">
        <v>80</v>
      </c>
    </row>
    <row r="17" spans="1:2">
      <c r="A17" s="6" t="s">
        <v>81</v>
      </c>
      <c r="B17" s="7" t="b">
        <f>AND(C4:C15)</f>
        <v>0</v>
      </c>
    </row>
    <row r="18" spans="1:2">
      <c r="A18" s="8" t="s">
        <v>82</v>
      </c>
      <c r="B18" s="9">
        <f>COUNTIF(C4:C15,TRUE)</f>
        <v>4</v>
      </c>
    </row>
    <row r="19" spans="1:2">
      <c r="A19" s="8" t="s">
        <v>83</v>
      </c>
      <c r="B19" s="9">
        <f>COUNTIF(C4:C15,FALSE)</f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月度数据</vt:lpstr>
      <vt:lpstr>毛利分析</vt:lpstr>
      <vt:lpstr>费用分析</vt:lpstr>
      <vt:lpstr>预算对比</vt:lpstr>
      <vt:lpstr>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TeryR</cp:lastModifiedBy>
  <dcterms:created xsi:type="dcterms:W3CDTF">2026-10-09T12:32:00Z</dcterms:created>
  <dcterms:modified xsi:type="dcterms:W3CDTF">2026-10-09T12:32:24Z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8857EB5735784AB2883C0181719A1AC0_12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