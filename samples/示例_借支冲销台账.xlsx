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Roaming\AutoClaw-official\accounts\25610e2cbbe07e38b74d61547f8b07895759ae9f16f7ad3317155d65454a2e79\projects\Default\复杂Excel挑战集\"/>
    </mc:Choice>
  </mc:AlternateContent>
  <bookViews>
    <workbookView/>
  </bookViews>
  <sheets>
    <sheet name="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制表人</author>
  </authors>
  <commentList>
    <comment ref="A1" authorId="0">
      <text>
        <r>
          <rPr>
            <sz val="10"/>
            <rFont val="宋体"/>
            <charset val="134"/>
          </rPr>
          <t>图例见K1:L7；另有2张单据已撤销，对应行已整行隐藏。J列校对值为审计留痕，不是账面数据。</t>
        </r>
      </text>
    </comment>
  </commentList>
</comments>
</file>

<file path=xl/sharedStrings.xml><?xml version="1.0" encoding="utf-8"?>
<sst xmlns="http://schemas.openxmlformats.org/spreadsheetml/2006/main" count="189" uniqueCount="116">
  <si>
    <t>单号</t>
  </si>
  <si>
    <t>日期</t>
  </si>
  <si>
    <t>事由</t>
  </si>
  <si>
    <t>金额</t>
  </si>
  <si>
    <t>金额（大写）</t>
  </si>
  <si>
    <t>状态</t>
  </si>
  <si>
    <t>签核人</t>
  </si>
  <si>
    <t>签核日期</t>
  </si>
  <si>
    <t>备注</t>
  </si>
  <si>
    <t>校对值</t>
  </si>
  <si>
    <t>图例</t>
  </si>
  <si>
    <t/>
  </si>
  <si>
    <t>BX-2026001</t>
  </si>
  <si>
    <t>2026-09-06</t>
  </si>
  <si>
    <t>差旅借支</t>
  </si>
  <si>
    <t>叁仟捌佰玖拾叁元贰角捌分</t>
  </si>
  <si>
    <t>正常</t>
  </si>
  <si>
    <t>周五</t>
  </si>
  <si>
    <t>2026-09-13</t>
  </si>
  <si>
    <t>红色数字</t>
  </si>
  <si>
    <t>冲销：按其绝对值的负数计入</t>
  </si>
  <si>
    <t>BX-2026002</t>
  </si>
  <si>
    <t>备用金</t>
  </si>
  <si>
    <t>伍仟零柒拾壹元捌角玖分</t>
  </si>
  <si>
    <t>钱二</t>
  </si>
  <si>
    <t>2026-09-10</t>
  </si>
  <si>
    <t>删除线</t>
  </si>
  <si>
    <t>作废，不入账</t>
  </si>
  <si>
    <t>BX-2026003</t>
  </si>
  <si>
    <t>采购借支</t>
  </si>
  <si>
    <t>壹万贰仟壹佰贰拾肆元叁角捌分</t>
  </si>
  <si>
    <t>2026-09-19</t>
  </si>
  <si>
    <t>黄色底纹</t>
  </si>
  <si>
    <t>待确认，暂不入账</t>
  </si>
  <si>
    <t>BX-2026004</t>
  </si>
  <si>
    <t>2026-09-03</t>
  </si>
  <si>
    <t>招待借支</t>
  </si>
  <si>
    <t>壹万肆仟柒佰陆拾柒元柒角</t>
  </si>
  <si>
    <t>加粗</t>
  </si>
  <si>
    <t>已复核</t>
  </si>
  <si>
    <t>BX-2026005</t>
  </si>
  <si>
    <t>2026-09-07</t>
  </si>
  <si>
    <t>培训借支</t>
  </si>
  <si>
    <t>７，０４３．８３</t>
  </si>
  <si>
    <t>柒仟零肆拾叁元捌角叁分</t>
  </si>
  <si>
    <t>赵一</t>
  </si>
  <si>
    <t>2026-09-14</t>
  </si>
  <si>
    <t>整行隐藏</t>
  </si>
  <si>
    <t>已撤销（见A1批注）</t>
  </si>
  <si>
    <t>BX-2026006</t>
  </si>
  <si>
    <t>2026-09-26</t>
  </si>
  <si>
    <t>冲销1</t>
  </si>
  <si>
    <t>壹万壹仟陆佰柒拾叁元捌角</t>
  </si>
  <si>
    <t>李四</t>
  </si>
  <si>
    <t>2026-09-30</t>
  </si>
  <si>
    <t>BX-2026007</t>
  </si>
  <si>
    <t>2026-09-27</t>
  </si>
  <si>
    <t>冲销2</t>
  </si>
  <si>
    <t>壹万叁仟玖佰贰拾叁元玖角叁分</t>
  </si>
  <si>
    <t>孙三</t>
  </si>
  <si>
    <t>BX-2026008</t>
  </si>
  <si>
    <t>2026-09-17</t>
  </si>
  <si>
    <t>补借</t>
  </si>
  <si>
    <t>伍仟零贰拾柒元玖角玖分</t>
  </si>
  <si>
    <t>任务：</t>
  </si>
  <si>
    <t>BX-2026009</t>
  </si>
  <si>
    <t>2026-09-12</t>
  </si>
  <si>
    <t>退还</t>
  </si>
  <si>
    <t>壹仟壹佰伍拾伍元捌角叁分</t>
  </si>
  <si>
    <t>吴六</t>
  </si>
  <si>
    <t>2026-09-18</t>
  </si>
  <si>
    <t>Q1 按图例口径提取有效台账并给出有效合计（保留2位）；</t>
  </si>
  <si>
    <t>BX-2026010</t>
  </si>
  <si>
    <t>押金借支</t>
  </si>
  <si>
    <t>壹仟壹佰捌拾陆元壹角伍分</t>
  </si>
  <si>
    <t>红字冲回，按负数计</t>
  </si>
  <si>
    <t>Q2 给出『已复核∩有效』的合计；</t>
  </si>
  <si>
    <t>BX-2026011</t>
  </si>
  <si>
    <t>维修借支</t>
  </si>
  <si>
    <t>捌仟伍佰玖拾捌元贰角玖分</t>
  </si>
  <si>
    <t>Q3 列出全部异常：大写不符、白字校对值与账面不符、签核日期早于单据日期、隐藏行等；</t>
  </si>
  <si>
    <t>BX-2026012</t>
  </si>
  <si>
    <t>物流借支</t>
  </si>
  <si>
    <t>壹万捌仟伍佰柒拾贰元玖角</t>
  </si>
  <si>
    <t>Q4 指出合计行D22为什么不可用。</t>
  </si>
  <si>
    <t>BX-2026013</t>
  </si>
  <si>
    <t>2026-09-20</t>
  </si>
  <si>
    <t>冲销3</t>
  </si>
  <si>
    <t>壹万叁仟肆佰柒拾元壹角肆分</t>
  </si>
  <si>
    <t>BX-2026014</t>
  </si>
  <si>
    <t>2026-09-16</t>
  </si>
  <si>
    <t>补差</t>
  </si>
  <si>
    <t>贰仟贰佰壹拾柒元壹角肆分</t>
  </si>
  <si>
    <t>2026-09-25</t>
  </si>
  <si>
    <t>BX-2026015</t>
  </si>
  <si>
    <t>会务借支</t>
  </si>
  <si>
    <t>贰仟捌佰捌拾肆元零柒分</t>
  </si>
  <si>
    <t>BX-2026016</t>
  </si>
  <si>
    <t>退回</t>
  </si>
  <si>
    <t>柒仟伍佰零柒元陆角玖分</t>
  </si>
  <si>
    <t>BX-2026017</t>
  </si>
  <si>
    <t>调整</t>
  </si>
  <si>
    <t>陆仟捌佰壹拾玖元零贰分</t>
  </si>
  <si>
    <t>BX-2026018</t>
  </si>
  <si>
    <t>2026-09-11</t>
  </si>
  <si>
    <t>红冲</t>
  </si>
  <si>
    <t>壹仟陆佰玖拾叁元零捌分</t>
  </si>
  <si>
    <t>2026-09-09</t>
  </si>
  <si>
    <t>BX-2026019</t>
  </si>
  <si>
    <t>垫付</t>
  </si>
  <si>
    <t>柒仟伍佰贰拾壹元叁角壹分</t>
  </si>
  <si>
    <t>BX-2026020</t>
  </si>
  <si>
    <t>2026-09-24</t>
  </si>
  <si>
    <t>暂支</t>
  </si>
  <si>
    <t>陆仟捌佰零伍元陆角肆分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</si>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</sst>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FFFFFF"/>
      <name val="宋体"/>
      <charset val="134"/>
    </font>
    <font>
      <strike/>
      <sz val="11"/>
      <color rgb="FF808080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A1" sqref="A1"/>
    </sheetView>
  </sheetViews>
  <sheetFormatPr defaultColWidth="9" defaultRowHeight="13.5"/>
  <cols>
    <col min="1" max="1" width="12" customWidth="1"/>
    <col min="2" max="2" width="11" customWidth="1"/>
    <col min="3" max="3" width="14" customWidth="1"/>
    <col min="4" max="4" width="12" customWidth="1"/>
    <col min="5" max="5" width="26" customWidth="1"/>
    <col min="6" max="7" width="8" customWidth="1"/>
    <col min="8" max="8" width="11" customWidth="1"/>
    <col min="9" max="9" width="18" customWidth="1"/>
    <col min="10" max="10" width="10" customWidth="1"/>
    <col min="11" max="11" width="40" customWidth="1"/>
    <col min="12" max="12" width="3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6">
        <v>3893.28</v>
      </c>
      <c r="E2" s="5" t="s">
        <v>15</v>
      </c>
      <c r="F2" s="4" t="s">
        <v>16</v>
      </c>
      <c r="G2" s="4" t="s">
        <v>17</v>
      </c>
      <c r="H2" s="4" t="s">
        <v>18</v>
      </c>
      <c r="I2" s="5" t="s">
        <v>11</v>
      </c>
      <c r="K2" s="3" t="s">
        <v>19</v>
      </c>
      <c r="L2" s="3" t="s">
        <v>20</v>
      </c>
    </row>
    <row r="3" spans="1:12">
      <c r="A3" s="7" t="s">
        <v>21</v>
      </c>
      <c r="B3" s="7" t="s">
        <v>13</v>
      </c>
      <c r="C3" s="8" t="s">
        <v>22</v>
      </c>
      <c r="D3" s="9">
        <v>5071.89</v>
      </c>
      <c r="E3" s="8" t="s">
        <v>23</v>
      </c>
      <c r="F3" s="7" t="s">
        <v>16</v>
      </c>
      <c r="G3" s="7" t="s">
        <v>24</v>
      </c>
      <c r="H3" s="7" t="s">
        <v>25</v>
      </c>
      <c r="I3" s="8" t="s">
        <v>11</v>
      </c>
      <c r="K3" s="3" t="s">
        <v>26</v>
      </c>
      <c r="L3" s="3" t="s">
        <v>27</v>
      </c>
    </row>
    <row r="4" spans="1:12">
      <c r="A4" s="4" t="s">
        <v>28</v>
      </c>
      <c r="B4" s="4" t="s">
        <v>25</v>
      </c>
      <c r="C4" s="5" t="s">
        <v>29</v>
      </c>
      <c r="D4" s="6">
        <v>12124.38</v>
      </c>
      <c r="E4" s="5" t="s">
        <v>30</v>
      </c>
      <c r="F4" s="4" t="s">
        <v>16</v>
      </c>
      <c r="G4" s="4" t="s">
        <v>24</v>
      </c>
      <c r="H4" s="4" t="s">
        <v>31</v>
      </c>
      <c r="I4" s="5" t="s">
        <v>11</v>
      </c>
      <c r="J4" s="10">
        <v>12124.38</v>
      </c>
      <c r="K4" s="3" t="s">
        <v>32</v>
      </c>
      <c r="L4" s="3" t="s">
        <v>33</v>
      </c>
    </row>
    <row r="5" spans="1:12">
      <c r="A5" s="11" t="s">
        <v>34</v>
      </c>
      <c r="B5" s="11" t="s">
        <v>35</v>
      </c>
      <c r="C5" s="12" t="s">
        <v>36</v>
      </c>
      <c r="D5" s="13">
        <v>14767.7</v>
      </c>
      <c r="E5" s="12" t="s">
        <v>37</v>
      </c>
      <c r="F5" s="11" t="s">
        <v>11</v>
      </c>
      <c r="G5" s="11" t="s">
        <v>11</v>
      </c>
      <c r="H5" s="11" t="s">
        <v>11</v>
      </c>
      <c r="I5" s="12" t="s">
        <v>11</v>
      </c>
      <c r="K5" s="3" t="s">
        <v>38</v>
      </c>
      <c r="L5" s="3" t="s">
        <v>39</v>
      </c>
    </row>
    <row r="6" spans="1:12">
      <c r="A6" s="7" t="s">
        <v>40</v>
      </c>
      <c r="B6" s="7" t="s">
        <v>41</v>
      </c>
      <c r="C6" s="8" t="s">
        <v>42</v>
      </c>
      <c r="D6" s="8" t="s">
        <v>43</v>
      </c>
      <c r="E6" s="8" t="s">
        <v>44</v>
      </c>
      <c r="F6" s="7" t="s">
        <v>16</v>
      </c>
      <c r="G6" s="7" t="s">
        <v>45</v>
      </c>
      <c r="H6" s="7" t="s">
        <v>46</v>
      </c>
      <c r="I6" s="8" t="s">
        <v>11</v>
      </c>
      <c r="K6" s="3" t="s">
        <v>47</v>
      </c>
      <c r="L6" s="3" t="s">
        <v>48</v>
      </c>
    </row>
    <row r="7" spans="1:12">
      <c r="A7" s="14" t="s">
        <v>49</v>
      </c>
      <c r="B7" s="14" t="s">
        <v>50</v>
      </c>
      <c r="C7" s="15" t="s">
        <v>51</v>
      </c>
      <c r="D7" s="16">
        <v>11673.8</v>
      </c>
      <c r="E7" s="15" t="s">
        <v>52</v>
      </c>
      <c r="F7" s="14" t="s">
        <v>11</v>
      </c>
      <c r="G7" s="14" t="s">
        <v>53</v>
      </c>
      <c r="H7" s="14" t="s">
        <v>54</v>
      </c>
      <c r="I7" s="15" t="s">
        <v>11</v>
      </c>
      <c r="J7" s="17"/>
    </row>
    <row r="8" spans="1:12">
      <c r="A8" s="4" t="s">
        <v>55</v>
      </c>
      <c r="B8" s="4" t="s">
        <v>56</v>
      </c>
      <c r="C8" s="5" t="s">
        <v>57</v>
      </c>
      <c r="D8" s="6">
        <v>13923.93</v>
      </c>
      <c r="E8" s="5" t="s">
        <v>58</v>
      </c>
      <c r="F8" s="4" t="s">
        <v>16</v>
      </c>
      <c r="G8" s="4" t="s">
        <v>59</v>
      </c>
      <c r="H8" s="4" t="s">
        <v>54</v>
      </c>
      <c r="I8" s="5" t="s">
        <v>11</v>
      </c>
    </row>
    <row r="9" spans="1:12">
      <c r="A9" s="11" t="s">
        <v>60</v>
      </c>
      <c r="B9" s="11" t="s">
        <v>61</v>
      </c>
      <c r="C9" s="12" t="s">
        <v>62</v>
      </c>
      <c r="D9" s="13">
        <v>5027.99</v>
      </c>
      <c r="E9" s="12" t="s">
        <v>63</v>
      </c>
      <c r="F9" s="11" t="s">
        <v>11</v>
      </c>
      <c r="G9" s="11" t="s">
        <v>11</v>
      </c>
      <c r="H9" s="11" t="s">
        <v>11</v>
      </c>
      <c r="I9" s="12" t="s">
        <v>11</v>
      </c>
      <c r="K9" s="2" t="s">
        <v>64</v>
      </c>
    </row>
    <row r="10" spans="1:12">
      <c r="A10" s="4" t="s">
        <v>65</v>
      </c>
      <c r="B10" s="4" t="s">
        <v>66</v>
      </c>
      <c r="C10" s="5" t="s">
        <v>67</v>
      </c>
      <c r="D10" s="6">
        <v>1155.83</v>
      </c>
      <c r="E10" s="5" t="s">
        <v>68</v>
      </c>
      <c r="F10" s="4" t="s">
        <v>16</v>
      </c>
      <c r="G10" s="4" t="s">
        <v>69</v>
      </c>
      <c r="H10" s="4" t="s">
        <v>70</v>
      </c>
      <c r="I10" s="5" t="s">
        <v>11</v>
      </c>
      <c r="K10" s="3" t="s">
        <v>71</v>
      </c>
    </row>
    <row r="11" spans="1:12">
      <c r="A11" s="18" t="s">
        <v>72</v>
      </c>
      <c r="B11" s="18" t="s">
        <v>31</v>
      </c>
      <c r="C11" s="19" t="s">
        <v>73</v>
      </c>
      <c r="D11" s="20">
        <v>1186.15</v>
      </c>
      <c r="E11" s="19" t="s">
        <v>74</v>
      </c>
      <c r="F11" s="18" t="s">
        <v>16</v>
      </c>
      <c r="G11" s="18" t="s">
        <v>45</v>
      </c>
      <c r="H11" s="18" t="s">
        <v>56</v>
      </c>
      <c r="I11" s="19" t="s">
        <v>75</v>
      </c>
      <c r="K11" s="3" t="s">
        <v>76</v>
      </c>
    </row>
    <row r="12" spans="1:12">
      <c r="A12" s="4" t="s">
        <v>77</v>
      </c>
      <c r="B12" s="4" t="s">
        <v>61</v>
      </c>
      <c r="C12" s="5" t="s">
        <v>78</v>
      </c>
      <c r="D12" s="6">
        <v>8598.29</v>
      </c>
      <c r="E12" s="5" t="s">
        <v>79</v>
      </c>
      <c r="F12" s="4" t="s">
        <v>16</v>
      </c>
      <c r="G12" s="4" t="s">
        <v>59</v>
      </c>
      <c r="H12" s="4" t="s">
        <v>70</v>
      </c>
      <c r="I12" s="5" t="s">
        <v>11</v>
      </c>
      <c r="J12" s="10">
        <v>8598.29</v>
      </c>
      <c r="K12" s="3" t="s">
        <v>80</v>
      </c>
    </row>
    <row r="13" spans="1:12">
      <c r="A13" s="14" t="s">
        <v>81</v>
      </c>
      <c r="B13" s="14" t="s">
        <v>50</v>
      </c>
      <c r="C13" s="15" t="s">
        <v>82</v>
      </c>
      <c r="D13" s="16">
        <v>18572.9</v>
      </c>
      <c r="E13" s="15" t="s">
        <v>83</v>
      </c>
      <c r="F13" s="14" t="s">
        <v>11</v>
      </c>
      <c r="G13" s="14" t="s">
        <v>24</v>
      </c>
      <c r="H13" s="14" t="s">
        <v>54</v>
      </c>
      <c r="I13" s="15" t="s">
        <v>11</v>
      </c>
      <c r="J13" s="17"/>
      <c r="K13" s="3" t="s">
        <v>84</v>
      </c>
    </row>
    <row r="14" spans="1:12">
      <c r="A14" s="7" t="s">
        <v>85</v>
      </c>
      <c r="B14" s="7" t="s">
        <v>86</v>
      </c>
      <c r="C14" s="8" t="s">
        <v>87</v>
      </c>
      <c r="D14" s="9">
        <v>13460.14</v>
      </c>
      <c r="E14" s="8" t="s">
        <v>88</v>
      </c>
      <c r="F14" s="7" t="s">
        <v>16</v>
      </c>
      <c r="G14" s="7" t="s">
        <v>53</v>
      </c>
      <c r="H14" s="7" t="s">
        <v>50</v>
      </c>
      <c r="I14" s="8" t="s">
        <v>11</v>
      </c>
    </row>
    <row r="15" hidden="1" spans="1:12">
      <c r="A15" s="4" t="s">
        <v>89</v>
      </c>
      <c r="B15" s="4" t="s">
        <v>90</v>
      </c>
      <c r="C15" s="5" t="s">
        <v>91</v>
      </c>
      <c r="D15" s="6">
        <v>2217.14</v>
      </c>
      <c r="E15" s="5" t="s">
        <v>92</v>
      </c>
      <c r="F15" s="4" t="s">
        <v>16</v>
      </c>
      <c r="G15" s="4" t="s">
        <v>24</v>
      </c>
      <c r="H15" s="4" t="s">
        <v>93</v>
      </c>
      <c r="I15" s="5" t="s">
        <v>11</v>
      </c>
    </row>
    <row r="16" hidden="1" spans="1:12">
      <c r="A16" s="4" t="s">
        <v>94</v>
      </c>
      <c r="B16" s="4" t="s">
        <v>93</v>
      </c>
      <c r="C16" s="5" t="s">
        <v>95</v>
      </c>
      <c r="D16" s="6">
        <v>2884.07</v>
      </c>
      <c r="E16" s="5" t="s">
        <v>96</v>
      </c>
      <c r="F16" s="4" t="s">
        <v>16</v>
      </c>
      <c r="G16" s="4" t="s">
        <v>69</v>
      </c>
      <c r="H16" s="4" t="s">
        <v>54</v>
      </c>
      <c r="I16" s="5" t="s">
        <v>11</v>
      </c>
    </row>
    <row r="17" spans="1:10">
      <c r="A17" s="11" t="s">
        <v>97</v>
      </c>
      <c r="B17" s="11" t="s">
        <v>18</v>
      </c>
      <c r="C17" s="12" t="s">
        <v>98</v>
      </c>
      <c r="D17" s="13">
        <v>7507.69</v>
      </c>
      <c r="E17" s="12" t="s">
        <v>99</v>
      </c>
      <c r="F17" s="11" t="s">
        <v>11</v>
      </c>
      <c r="G17" s="11" t="s">
        <v>11</v>
      </c>
      <c r="H17" s="11" t="s">
        <v>11</v>
      </c>
      <c r="I17" s="12" t="s">
        <v>11</v>
      </c>
    </row>
    <row r="18" spans="1:10">
      <c r="A18" s="18" t="s">
        <v>100</v>
      </c>
      <c r="B18" s="18" t="s">
        <v>66</v>
      </c>
      <c r="C18" s="19" t="s">
        <v>101</v>
      </c>
      <c r="D18" s="20">
        <v>6819.02</v>
      </c>
      <c r="E18" s="19" t="s">
        <v>102</v>
      </c>
      <c r="F18" s="18" t="s">
        <v>16</v>
      </c>
      <c r="G18" s="18" t="s">
        <v>45</v>
      </c>
      <c r="H18" s="18" t="s">
        <v>70</v>
      </c>
      <c r="I18" s="19" t="s">
        <v>75</v>
      </c>
    </row>
    <row r="19" spans="1:10">
      <c r="A19" s="4" t="s">
        <v>103</v>
      </c>
      <c r="B19" s="4" t="s">
        <v>104</v>
      </c>
      <c r="C19" s="5" t="s">
        <v>105</v>
      </c>
      <c r="D19" s="6">
        <v>1693.08</v>
      </c>
      <c r="E19" s="5" t="s">
        <v>106</v>
      </c>
      <c r="F19" s="4" t="s">
        <v>16</v>
      </c>
      <c r="G19" s="4" t="s">
        <v>53</v>
      </c>
      <c r="H19" s="4" t="s">
        <v>107</v>
      </c>
      <c r="I19" s="5" t="s">
        <v>11</v>
      </c>
    </row>
    <row r="20" spans="1:10">
      <c r="A20" s="7" t="s">
        <v>108</v>
      </c>
      <c r="B20" s="7" t="s">
        <v>93</v>
      </c>
      <c r="C20" s="8" t="s">
        <v>109</v>
      </c>
      <c r="D20" s="9">
        <v>7521.31</v>
      </c>
      <c r="E20" s="8" t="s">
        <v>110</v>
      </c>
      <c r="F20" s="7" t="s">
        <v>16</v>
      </c>
      <c r="G20" s="7" t="s">
        <v>24</v>
      </c>
      <c r="H20" s="7" t="s">
        <v>54</v>
      </c>
      <c r="I20" s="8" t="s">
        <v>11</v>
      </c>
      <c r="J20" s="10">
        <v>8821.31</v>
      </c>
    </row>
    <row r="21" spans="1:10">
      <c r="A21" s="4" t="s">
        <v>111</v>
      </c>
      <c r="B21" s="4" t="s">
        <v>112</v>
      </c>
      <c r="C21" s="5" t="s">
        <v>113</v>
      </c>
      <c r="D21" s="6">
        <v>6805.64</v>
      </c>
      <c r="E21" s="5" t="s">
        <v>114</v>
      </c>
      <c r="F21" s="4" t="s">
        <v>16</v>
      </c>
      <c r="G21" s="4" t="s">
        <v>69</v>
      </c>
      <c r="H21" s="4" t="s">
        <v>54</v>
      </c>
      <c r="I21" s="5" t="s">
        <v>11</v>
      </c>
    </row>
    <row r="22" spans="1:10">
      <c r="C22" s="8" t="s">
        <v>115</v>
      </c>
      <c r="D22" s="21">
        <f>SUM(D2:D21)</f>
        <v>144904.23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TeryR</cp:lastModifiedBy>
  <dcterms:created xsi:type="dcterms:W3CDTF">2026-10-13T09:00:00Z</dcterms:created>
  <dcterms:modified xsi:type="dcterms:W3CDTF">2026-10-13T09:00:09Z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3B5774D3E9504FDDAF91CF4A00079F4E_12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