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Roaming\AutoClaw-official\accounts\25610e2cbbe07e38b74d61547f8b07895759ae9f16f7ad3317155d65454a2e79\projects\Default\复杂Excel挑战集\"/>
    </mc:Choice>
  </mc:AlternateContent>
  <bookViews>
    <workbookView/>
  </bookViews>
  <sheets>
    <sheet name="说明" sheetId="1" r:id="rId1"/>
    <sheet name="汇总视图" sheetId="2" r:id="rId2"/>
    <sheet name="勾稽校验" sheetId="3" r:id="rId3"/>
    <sheet name="销售部" sheetId="4" r:id="rId4"/>
    <sheet name="市场部" sheetId="5" r:id="rId5"/>
    <sheet name="后勤部" sheetId="6" r:id="rId6"/>
    <sheet name="人事部" sheetId="7" r:id="rId7"/>
    <sheet name="研发部" sheetId="8" r:id="rId8"/>
    <sheet name="行政部" sheetId="9" r:id="rId9"/>
    <sheet name="科目对照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<sst xmlns="http://schemas.openxmlformats.org/spreadsheetml/2006/main" count="367" uniqueCount="108">
  <si>
    <t>T1 结构迷宫 · 集团总部费用 · 多表归并挑战</t>
  </si>
  <si>
    <t>这份工作簿是什么</t>
  </si>
  <si>
    <t>六个部门的 2026 年全年费用明细，六种完全不同的表格布局。全部为合成模拟数据（随机种子 20260901）。</t>
  </si>
  <si>
    <t>「汇总视图」与「勾稽校验」中每个数字都是活公式，从六张异构明细表实时归并。</t>
  </si>
  <si>
    <t>挑战点（不剧透具体位置）</t>
  </si>
  <si>
    <t>1. 横竖转置：有的表月份在行上，有的在列上。</t>
  </si>
  <si>
    <t>2. 小计行混在明细里：整列求和会重复计算。</t>
  </si>
  <si>
    <t>3. 合并单元格：月份列为纵向合并，只有合并区第一行有值。</t>
  </si>
  <si>
    <t>4. 一页两表：同一张工作表左右两块独立表格。</t>
  </si>
  <si>
    <t>5. 标签不干净：月份带前导空格、项目名带尾随空格、同一项目多种写法（见「科目对照」）。</t>
  </si>
  <si>
    <t>6. 负数红字冲销行、以及“看着像金额但绝不是金额”的干扰列。</t>
  </si>
  <si>
    <t>另有隐藏列：有的藏着 consolidations 依赖的辅助公式，有的是纯干扰数据。</t>
  </si>
  <si>
    <t>建议方法</t>
  </si>
  <si>
    <t>横向月份列可用 INDEX(区域,0,月) 取整列；合并单元格用向下填充式辅助列复原月份；</t>
  </si>
  <si>
    <t>TRIM 清洗标签；SUMPRODUCT 做条件求和。先看「勾稽校验」：应全为 TRUE。</t>
  </si>
  <si>
    <t>口径说明</t>
  </si>
  <si>
    <t>金额单位：元，两位小数；月份均为 2026 年 1-12 月自然月；数据为合成模拟数据 [测算]。</t>
  </si>
  <si>
    <t>六部门费用归并（全部为活公式，修改明细表即实时变动）</t>
  </si>
  <si>
    <t>月份</t>
  </si>
  <si>
    <t>销售部</t>
  </si>
  <si>
    <t>市场部</t>
  </si>
  <si>
    <t>后勤部</t>
  </si>
  <si>
    <t>人事部</t>
  </si>
  <si>
    <t>研发部</t>
  </si>
  <si>
    <t>行政部</t>
  </si>
  <si>
    <t>合计</t>
  </si>
  <si>
    <t>双路由勾稽：路由A=汇总视图；路由B=直接对明细表独立求和</t>
  </si>
  <si>
    <t>部门</t>
  </si>
  <si>
    <t>路由A（汇总视图）</t>
  </si>
  <si>
    <t>路由B（明细直加）</t>
  </si>
  <si>
    <t>差额</t>
  </si>
  <si>
    <t>校验</t>
  </si>
  <si>
    <t>研发部标准科目归集（别名/空格清洗后）</t>
  </si>
  <si>
    <t>标准科目</t>
  </si>
  <si>
    <t>归集金额</t>
  </si>
  <si>
    <t>差旅费</t>
  </si>
  <si>
    <t>办公费</t>
  </si>
  <si>
    <t>耗材费</t>
  </si>
  <si>
    <t>销售部 2026 年费用明细（集团总部费用）</t>
  </si>
  <si>
    <t>费用项目</t>
  </si>
  <si>
    <t>金额（元）</t>
  </si>
  <si>
    <t>发票张数</t>
  </si>
  <si>
    <t>客户维护费</t>
  </si>
  <si>
    <t>运输费</t>
  </si>
  <si>
    <t>小计</t>
  </si>
  <si>
    <t/>
  </si>
  <si>
    <t>市场部 2026 年费用明细（月份为列）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</si>
  <si>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</si>
  <si>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</si>
  <si>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</si>
  <si>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</si>
  <si>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</si>
  <si>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</si>
  <si>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</si>
  <si>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</si>
  <si>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</si>
  <si>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</si>
  <si>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</si>
  <si>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</si>
  <si>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校验码</t>
  </si>
  <si>
    <t>广告费</t>
  </si>
  <si>
    <t>品牌咨询费</t>
  </si>
  <si>
    <t>展会费</t>
  </si>
  <si>
    <t>物料制作费</t>
  </si>
  <si>
    <t>渠道佣金</t>
  </si>
  <si>
    <t>短视频投放</t>
  </si>
  <si>
    <t>后勤部 2026 年费用明细（左右两段）</t>
  </si>
  <si>
    <t>备用</t>
  </si>
  <si>
    <t>仓储费</t>
  </si>
  <si>
    <t>快递费</t>
  </si>
  <si>
    <t>燃油费</t>
  </si>
  <si>
    <t>人事部 2026 年费用明细（月份为合并单元格）</t>
  </si>
  <si>
    <t>备注</t>
  </si>
  <si>
    <t>辅助</t>
  </si>
  <si>
    <t>工资</t>
  </si>
  <si>
    <t>社保公积金</t>
  </si>
  <si>
    <t>招聘费</t>
  </si>
  <si>
    <t>研发部 2026 年费用明细（标签未清洗）</t>
  </si>
  <si>
    <t>1月</t>
  </si>
  <si>
    <t xml:space="preserve">耗材领用 </t>
  </si>
  <si>
    <t>差旅报销</t>
  </si>
  <si>
    <t>日常办公</t>
  </si>
  <si>
    <t>2月</t>
  </si>
  <si>
    <t xml:space="preserve">实验耗材 </t>
  </si>
  <si>
    <t>办公用品</t>
  </si>
  <si>
    <t>3月</t>
  </si>
  <si>
    <t>实验耗材</t>
  </si>
  <si>
    <t xml:space="preserve"> 4月</t>
  </si>
  <si>
    <t>出差费用</t>
  </si>
  <si>
    <t>5月</t>
  </si>
  <si>
    <t xml:space="preserve">日常办公 </t>
  </si>
  <si>
    <t>6月</t>
  </si>
  <si>
    <t>7月</t>
  </si>
  <si>
    <t xml:space="preserve">差旅报销 </t>
  </si>
  <si>
    <t xml:space="preserve"> 8月</t>
  </si>
  <si>
    <t>9月</t>
  </si>
  <si>
    <t>耗材领用</t>
  </si>
  <si>
    <t>10月</t>
  </si>
  <si>
    <t>11月</t>
  </si>
  <si>
    <t xml:space="preserve"> 12月</t>
  </si>
  <si>
    <t>行政部 2026 年费用明细（含红字冲销）</t>
  </si>
  <si>
    <t>凭证数</t>
  </si>
  <si>
    <t>物业费</t>
  </si>
  <si>
    <t>车辆使用费</t>
  </si>
  <si>
    <t>绿植租摆</t>
  </si>
  <si>
    <t>水电费</t>
  </si>
  <si>
    <t>写法一</t>
  </si>
  <si>
    <t>写法二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</si>
</sst>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rgb="FF008000"/>
      <name val="宋体"/>
      <charset val="134"/>
      <scheme val="minor"/>
    </font>
    <font>
      <b/>
      <sz val="13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rgb="FF40404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4" fontId="2" fillId="4" borderId="0" xfId="0" applyNumberFormat="1" applyFont="1" applyFill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2" fillId="3" borderId="0" xfId="0" applyFont="1" applyFill="1"/>
    <xf numFmtId="0" fontId="2" fillId="0" borderId="0" xfId="0" applyFont="1"/>
    <xf numFmtId="4" fontId="2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4" fontId="2" fillId="3" borderId="2" xfId="0" applyNumberFormat="1" applyFont="1" applyFill="1" applyBorder="1" applyAlignment="1">
      <alignment horizontal="right" vertical="center"/>
    </xf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B2:B22"/>
  <sheetViews>
    <sheetView tabSelected="1" workbookViewId="0">
      <selection activeCell="A1" sqref="A1"/>
    </sheetView>
  </sheetViews>
  <sheetFormatPr defaultColWidth="9" defaultRowHeight="13.5" outlineLevelCol="1"/>
  <cols>
    <col min="2" max="2" width="118" customWidth="1"/>
  </cols>
  <sheetData>
    <row r="2" ht="18.75" spans="2:2">
      <c r="B2" s="24" t="s">
        <v>0</v>
      </c>
    </row>
    <row r="4" spans="2:2">
      <c r="B4" s="12" t="s">
        <v>1</v>
      </c>
    </row>
    <row r="5" spans="2:2">
      <c r="B5" s="5" t="s">
        <v>2</v>
      </c>
    </row>
    <row r="6" spans="2:2">
      <c r="B6" s="5" t="s">
        <v>3</v>
      </c>
    </row>
    <row r="8" spans="2:2">
      <c r="B8" s="12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4" spans="2:2">
      <c r="B14" s="5" t="s">
        <v>10</v>
      </c>
    </row>
    <row r="15" spans="2:2">
      <c r="B15" s="5" t="s">
        <v>11</v>
      </c>
    </row>
    <row r="17" spans="2:2">
      <c r="B17" s="12" t="s">
        <v>12</v>
      </c>
    </row>
    <row r="18" spans="2:2">
      <c r="B18" s="5" t="s">
        <v>13</v>
      </c>
    </row>
    <row r="19" spans="2:2">
      <c r="B19" s="5" t="s">
        <v>14</v>
      </c>
    </row>
    <row r="21" spans="2:2">
      <c r="B21" s="12" t="s">
        <v>15</v>
      </c>
    </row>
    <row r="22" spans="2:2">
      <c r="B22" s="5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1" sqref="A1"/>
    </sheetView>
  </sheetViews>
  <sheetFormatPr defaultColWidth="9" defaultRowHeight="13.5"/>
  <sheetData>
    <row r="1" ht="15" spans="1:9">
      <c r="A1" s="21" t="s">
        <v>17</v>
      </c>
    </row>
    <row r="3" spans="1:9"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spans="1:9">
      <c r="B4" s="10">
        <v>1</v>
      </c>
      <c r="C4" s="17">
        <f>SUMPRODUCT((销售部!$A$3:$A$42=$B4)*销售部!$C$3:$C$42)</f>
        <v>117590.99</v>
      </c>
      <c r="D4" s="17">
        <f>SUM(INDEX(市场部!$B$4:$M$9,0,$B4))</f>
        <v>297674.07</v>
      </c>
      <c r="E4" s="17">
        <f>SUMPRODUCT((后勤部!$A$4:$A$9=$B4)*后勤部!$C$4:$C$9)+SUMPRODUCT((后勤部!$E$4:$E$9=$B4)*后勤部!$G$4:$G$9)</f>
        <v>8709.3</v>
      </c>
      <c r="F4" s="17">
        <f>SUMPRODUCT((人事部!$E$3:$E$38=$B4)*人事部!$C$3:$C$38)</f>
        <v>651595.25</v>
      </c>
      <c r="G4" s="17">
        <f>SUMPRODUCT((TRIM(研发部!$A$3:$A$38)=$B4&amp;"月")*研发部!$C$3:$C$38)</f>
        <v>175086.23</v>
      </c>
      <c r="H4" s="17">
        <f>SUMPRODUCT((行政部!$A$3:$A$56=$B4)*行政部!$C$3:$C$56)</f>
        <v>63401.24</v>
      </c>
      <c r="I4" s="6">
        <f t="shared" ref="I4:I15" si="0">SUM(C4:H4)</f>
        <v>1314057.08</v>
      </c>
    </row>
    <row r="5" spans="1:9">
      <c r="B5" s="10">
        <v>2</v>
      </c>
      <c r="C5" s="17">
        <f>SUMPRODUCT((销售部!$A$3:$A$42=$B5)*销售部!$C$3:$C$42)</f>
        <v>87239.89</v>
      </c>
      <c r="D5" s="17">
        <f>SUM(INDEX(市场部!$B$4:$M$9,0,$B5))</f>
        <v>152449.54</v>
      </c>
      <c r="E5" s="17">
        <f>SUMPRODUCT((后勤部!$A$4:$A$9=$B5)*后勤部!$C$4:$C$9)+SUMPRODUCT((后勤部!$E$4:$E$9=$B5)*后勤部!$G$4:$G$9)</f>
        <v>26727.53</v>
      </c>
      <c r="F5" s="17">
        <f>SUMPRODUCT((人事部!$E$3:$E$38=$B5)*人事部!$C$3:$C$38)</f>
        <v>632061.58</v>
      </c>
      <c r="G5" s="17">
        <f>SUMPRODUCT((TRIM(研发部!$A$3:$A$38)=$B5&amp;"月")*研发部!$C$3:$C$38)</f>
        <v>102387.56</v>
      </c>
      <c r="H5" s="17">
        <f>SUMPRODUCT((行政部!$A$3:$A$56=$B5)*行政部!$C$3:$C$56)</f>
        <v>58862.04</v>
      </c>
      <c r="I5" s="6">
        <f t="shared" si="0"/>
        <v>1059728.14</v>
      </c>
    </row>
    <row r="6" spans="1:9">
      <c r="B6" s="10">
        <v>3</v>
      </c>
      <c r="C6" s="17">
        <f>SUMPRODUCT((销售部!$A$3:$A$42=$B6)*销售部!$C$3:$C$42)</f>
        <v>79553.04</v>
      </c>
      <c r="D6" s="17">
        <f>SUM(INDEX(市场部!$B$4:$M$9,0,$B6))</f>
        <v>249694.94</v>
      </c>
      <c r="E6" s="17">
        <f>SUMPRODUCT((后勤部!$A$4:$A$9=$B6)*后勤部!$C$4:$C$9)+SUMPRODUCT((后勤部!$E$4:$E$9=$B6)*后勤部!$G$4:$G$9)</f>
        <v>2969.97</v>
      </c>
      <c r="F6" s="17">
        <f>SUMPRODUCT((人事部!$E$3:$E$38=$B6)*人事部!$C$3:$C$38)</f>
        <v>739634.78</v>
      </c>
      <c r="G6" s="17">
        <f>SUMPRODUCT((TRIM(研发部!$A$3:$A$38)=$B6&amp;"月")*研发部!$C$3:$C$38)</f>
        <v>138456.14</v>
      </c>
      <c r="H6" s="17">
        <f>SUMPRODUCT((行政部!$A$3:$A$56=$B6)*行政部!$C$3:$C$56)</f>
        <v>97866.95</v>
      </c>
      <c r="I6" s="6">
        <f t="shared" si="0"/>
        <v>1308175.82</v>
      </c>
    </row>
    <row r="7" spans="1:9">
      <c r="B7" s="10">
        <v>4</v>
      </c>
      <c r="C7" s="17">
        <f>SUMPRODUCT((销售部!$A$3:$A$42=$B7)*销售部!$C$3:$C$42)</f>
        <v>41581.42</v>
      </c>
      <c r="D7" s="17">
        <f>SUM(INDEX(市场部!$B$4:$M$9,0,$B7))</f>
        <v>319338.89</v>
      </c>
      <c r="E7" s="17">
        <f>SUMPRODUCT((后勤部!$A$4:$A$9=$B7)*后勤部!$C$4:$C$9)+SUMPRODUCT((后勤部!$E$4:$E$9=$B7)*后勤部!$G$4:$G$9)</f>
        <v>26519</v>
      </c>
      <c r="F7" s="17">
        <f>SUMPRODUCT((人事部!$E$3:$E$38=$B7)*人事部!$C$3:$C$38)</f>
        <v>544921.78</v>
      </c>
      <c r="G7" s="17">
        <f>SUMPRODUCT((TRIM(研发部!$A$3:$A$38)=$B7&amp;"月")*研发部!$C$3:$C$38)</f>
        <v>140983.27</v>
      </c>
      <c r="H7" s="17">
        <f>SUMPRODUCT((行政部!$A$3:$A$56=$B7)*行政部!$C$3:$C$56)</f>
        <v>47744.71</v>
      </c>
      <c r="I7" s="6">
        <f t="shared" si="0"/>
        <v>1121089.07</v>
      </c>
    </row>
    <row r="8" spans="1:9">
      <c r="B8" s="10">
        <v>5</v>
      </c>
      <c r="C8" s="17">
        <f>SUMPRODUCT((销售部!$A$3:$A$42=$B8)*销售部!$C$3:$C$42)</f>
        <v>95718.63</v>
      </c>
      <c r="D8" s="17">
        <f>SUM(INDEX(市场部!$B$4:$M$9,0,$B8))</f>
        <v>209394.37</v>
      </c>
      <c r="E8" s="17">
        <f>SUMPRODUCT((后勤部!$A$4:$A$9=$B8)*后勤部!$C$4:$C$9)+SUMPRODUCT((后勤部!$E$4:$E$9=$B8)*后勤部!$G$4:$G$9)</f>
        <v>16948.27</v>
      </c>
      <c r="F8" s="17">
        <f>SUMPRODUCT((人事部!$E$3:$E$38=$B8)*人事部!$C$3:$C$38)</f>
        <v>737204.18</v>
      </c>
      <c r="G8" s="17">
        <f>SUMPRODUCT((TRIM(研发部!$A$3:$A$38)=$B8&amp;"月")*研发部!$C$3:$C$38)</f>
        <v>149053.75</v>
      </c>
      <c r="H8" s="17">
        <f>SUMPRODUCT((行政部!$A$3:$A$56=$B8)*行政部!$C$3:$C$56)</f>
        <v>118804.28</v>
      </c>
      <c r="I8" s="6">
        <f t="shared" si="0"/>
        <v>1327123.48</v>
      </c>
    </row>
    <row r="9" spans="1:9">
      <c r="B9" s="10">
        <v>6</v>
      </c>
      <c r="C9" s="17">
        <f>SUMPRODUCT((销售部!$A$3:$A$42=$B9)*销售部!$C$3:$C$42)</f>
        <v>69257.69</v>
      </c>
      <c r="D9" s="17">
        <f>SUM(INDEX(市场部!$B$4:$M$9,0,$B9))</f>
        <v>247281.37</v>
      </c>
      <c r="E9" s="17">
        <f>SUMPRODUCT((后勤部!$A$4:$A$9=$B9)*后勤部!$C$4:$C$9)+SUMPRODUCT((后勤部!$E$4:$E$9=$B9)*后勤部!$G$4:$G$9)</f>
        <v>19962.3</v>
      </c>
      <c r="F9" s="17">
        <f>SUMPRODUCT((人事部!$E$3:$E$38=$B9)*人事部!$C$3:$C$38)</f>
        <v>826921.86</v>
      </c>
      <c r="G9" s="17">
        <f>SUMPRODUCT((TRIM(研发部!$A$3:$A$38)=$B9&amp;"月")*研发部!$C$3:$C$38)</f>
        <v>171509.57</v>
      </c>
      <c r="H9" s="17">
        <f>SUMPRODUCT((行政部!$A$3:$A$56=$B9)*行政部!$C$3:$C$56)</f>
        <v>109098.2</v>
      </c>
      <c r="I9" s="6">
        <f t="shared" si="0"/>
        <v>1444030.99</v>
      </c>
    </row>
    <row r="10" spans="1:9">
      <c r="B10" s="10">
        <v>7</v>
      </c>
      <c r="C10" s="17">
        <f>SUMPRODUCT((销售部!$A$3:$A$42=$B10)*销售部!$C$3:$C$42)</f>
        <v>97456.15</v>
      </c>
      <c r="D10" s="17">
        <f>SUM(INDEX(市场部!$B$4:$M$9,0,$B10))</f>
        <v>135963.65</v>
      </c>
      <c r="E10" s="17">
        <f>SUMPRODUCT((后勤部!$A$4:$A$9=$B10)*后勤部!$C$4:$C$9)+SUMPRODUCT((后勤部!$E$4:$E$9=$B10)*后勤部!$G$4:$G$9)</f>
        <v>15141.56</v>
      </c>
      <c r="F10" s="17">
        <f>SUMPRODUCT((人事部!$E$3:$E$38=$B10)*人事部!$C$3:$C$38)</f>
        <v>1022440.84</v>
      </c>
      <c r="G10" s="17">
        <f>SUMPRODUCT((TRIM(研发部!$A$3:$A$38)=$B10&amp;"月")*研发部!$C$3:$C$38)</f>
        <v>124877.31</v>
      </c>
      <c r="H10" s="17">
        <f>SUMPRODUCT((行政部!$A$3:$A$56=$B10)*行政部!$C$3:$C$56)</f>
        <v>112711.31</v>
      </c>
      <c r="I10" s="6">
        <f t="shared" si="0"/>
        <v>1508590.82</v>
      </c>
    </row>
    <row r="11" spans="1:9">
      <c r="B11" s="10">
        <v>8</v>
      </c>
      <c r="C11" s="17">
        <f>SUMPRODUCT((销售部!$A$3:$A$42=$B11)*销售部!$C$3:$C$42)</f>
        <v>111127.02</v>
      </c>
      <c r="D11" s="17">
        <f>SUM(INDEX(市场部!$B$4:$M$9,0,$B11))</f>
        <v>192155.9</v>
      </c>
      <c r="E11" s="17">
        <f>SUMPRODUCT((后勤部!$A$4:$A$9=$B11)*后勤部!$C$4:$C$9)+SUMPRODUCT((后勤部!$E$4:$E$9=$B11)*后勤部!$G$4:$G$9)</f>
        <v>22863.77</v>
      </c>
      <c r="F11" s="17">
        <f>SUMPRODUCT((人事部!$E$3:$E$38=$B11)*人事部!$C$3:$C$38)</f>
        <v>1037875.65</v>
      </c>
      <c r="G11" s="17">
        <f>SUMPRODUCT((TRIM(研发部!$A$3:$A$38)=$B11&amp;"月")*研发部!$C$3:$C$38)</f>
        <v>147637.46</v>
      </c>
      <c r="H11" s="17">
        <f>SUMPRODUCT((行政部!$A$3:$A$56=$B11)*行政部!$C$3:$C$56)</f>
        <v>65594.5</v>
      </c>
      <c r="I11" s="6">
        <f t="shared" si="0"/>
        <v>1577254.3</v>
      </c>
    </row>
    <row r="12" spans="1:9">
      <c r="B12" s="10">
        <v>9</v>
      </c>
      <c r="C12" s="17">
        <f>SUMPRODUCT((销售部!$A$3:$A$42=$B12)*销售部!$C$3:$C$42)</f>
        <v>70800.34</v>
      </c>
      <c r="D12" s="17">
        <f>SUM(INDEX(市场部!$B$4:$M$9,0,$B12))</f>
        <v>327272.84</v>
      </c>
      <c r="E12" s="17">
        <f>SUMPRODUCT((后勤部!$A$4:$A$9=$B12)*后勤部!$C$4:$C$9)+SUMPRODUCT((后勤部!$E$4:$E$9=$B12)*后勤部!$G$4:$G$9)</f>
        <v>14858.17</v>
      </c>
      <c r="F12" s="17">
        <f>SUMPRODUCT((人事部!$E$3:$E$38=$B12)*人事部!$C$3:$C$38)</f>
        <v>540905.34</v>
      </c>
      <c r="G12" s="17">
        <f>SUMPRODUCT((TRIM(研发部!$A$3:$A$38)=$B12&amp;"月")*研发部!$C$3:$C$38)</f>
        <v>140372.03</v>
      </c>
      <c r="H12" s="17">
        <f>SUMPRODUCT((行政部!$A$3:$A$56=$B12)*行政部!$C$3:$C$56)</f>
        <v>50027.27</v>
      </c>
      <c r="I12" s="6">
        <f t="shared" si="0"/>
        <v>1144235.99</v>
      </c>
    </row>
    <row r="13" spans="1:9">
      <c r="B13" s="10">
        <v>10</v>
      </c>
      <c r="C13" s="17">
        <f>SUMPRODUCT((销售部!$A$3:$A$42=$B13)*销售部!$C$3:$C$42)</f>
        <v>39450.15</v>
      </c>
      <c r="D13" s="17">
        <f>SUM(INDEX(市场部!$B$4:$M$9,0,$B13))</f>
        <v>171105.66</v>
      </c>
      <c r="E13" s="17">
        <f>SUMPRODUCT((后勤部!$A$4:$A$9=$B13)*后勤部!$C$4:$C$9)+SUMPRODUCT((后勤部!$E$4:$E$9=$B13)*后勤部!$G$4:$G$9)</f>
        <v>2719.13</v>
      </c>
      <c r="F13" s="17">
        <f>SUMPRODUCT((人事部!$E$3:$E$38=$B13)*人事部!$C$3:$C$38)</f>
        <v>474245.36</v>
      </c>
      <c r="G13" s="17">
        <f>SUMPRODUCT((TRIM(研发部!$A$3:$A$38)=$B13&amp;"月")*研发部!$C$3:$C$38)</f>
        <v>163982.68</v>
      </c>
      <c r="H13" s="17">
        <f>SUMPRODUCT((行政部!$A$3:$A$56=$B13)*行政部!$C$3:$C$56)</f>
        <v>65351.88</v>
      </c>
      <c r="I13" s="6">
        <f t="shared" si="0"/>
        <v>916854.86</v>
      </c>
    </row>
    <row r="14" spans="1:9">
      <c r="B14" s="10">
        <v>11</v>
      </c>
      <c r="C14" s="17">
        <f>SUMPRODUCT((销售部!$A$3:$A$42=$B14)*销售部!$C$3:$C$42)</f>
        <v>62136.5</v>
      </c>
      <c r="D14" s="17">
        <f>SUM(INDEX(市场部!$B$4:$M$9,0,$B14))</f>
        <v>226184.36</v>
      </c>
      <c r="E14" s="17">
        <f>SUMPRODUCT((后勤部!$A$4:$A$9=$B14)*后勤部!$C$4:$C$9)+SUMPRODUCT((后勤部!$E$4:$E$9=$B14)*后勤部!$G$4:$G$9)</f>
        <v>20786.18</v>
      </c>
      <c r="F14" s="17">
        <f>SUMPRODUCT((人事部!$E$3:$E$38=$B14)*人事部!$C$3:$C$38)</f>
        <v>587119.59</v>
      </c>
      <c r="G14" s="17">
        <f>SUMPRODUCT((TRIM(研发部!$A$3:$A$38)=$B14&amp;"月")*研发部!$C$3:$C$38)</f>
        <v>157676.05</v>
      </c>
      <c r="H14" s="17">
        <f>SUMPRODUCT((行政部!$A$3:$A$56=$B14)*行政部!$C$3:$C$56)</f>
        <v>84046.22</v>
      </c>
      <c r="I14" s="6">
        <f t="shared" si="0"/>
        <v>1137948.9</v>
      </c>
    </row>
    <row r="15" spans="1:9">
      <c r="B15" s="10">
        <v>12</v>
      </c>
      <c r="C15" s="17">
        <f>SUMPRODUCT((销售部!$A$3:$A$42=$B15)*销售部!$C$3:$C$42)</f>
        <v>81622.35</v>
      </c>
      <c r="D15" s="17">
        <f>SUM(INDEX(市场部!$B$4:$M$9,0,$B15))</f>
        <v>241765.42</v>
      </c>
      <c r="E15" s="17">
        <f>SUMPRODUCT((后勤部!$A$4:$A$9=$B15)*后勤部!$C$4:$C$9)+SUMPRODUCT((后勤部!$E$4:$E$9=$B15)*后勤部!$G$4:$G$9)</f>
        <v>4658.08</v>
      </c>
      <c r="F15" s="17">
        <f>SUMPRODUCT((人事部!$E$3:$E$38=$B15)*人事部!$C$3:$C$38)</f>
        <v>683140.99</v>
      </c>
      <c r="G15" s="17">
        <f>SUMPRODUCT((TRIM(研发部!$A$3:$A$38)=$B15&amp;"月")*研发部!$C$3:$C$38)</f>
        <v>154371.5</v>
      </c>
      <c r="H15" s="17">
        <f>SUMPRODUCT((行政部!$A$3:$A$56=$B15)*行政部!$C$3:$C$56)</f>
        <v>39371.8</v>
      </c>
      <c r="I15" s="6">
        <f t="shared" si="0"/>
        <v>1204930.14</v>
      </c>
    </row>
    <row r="16" ht="14.25" spans="1:9">
      <c r="B16" s="22" t="s">
        <v>25</v>
      </c>
      <c r="C16" s="23">
        <f t="shared" ref="C16:I16" si="1">SUM(C4:C15)</f>
        <v>953534.17</v>
      </c>
      <c r="D16" s="23">
        <f t="shared" si="1"/>
        <v>2770281.01</v>
      </c>
      <c r="E16" s="23">
        <f t="shared" si="1"/>
        <v>182863.26</v>
      </c>
      <c r="F16" s="23">
        <f t="shared" si="1"/>
        <v>8478067.2</v>
      </c>
      <c r="G16" s="23">
        <f t="shared" si="1"/>
        <v>1766393.55</v>
      </c>
      <c r="H16" s="23">
        <f t="shared" si="1"/>
        <v>912880.4</v>
      </c>
      <c r="I16" s="23">
        <f t="shared" si="1"/>
        <v>15064019.59</v>
      </c>
    </row>
    <row r="17" ht="14.2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3" t="s">
        <v>26</v>
      </c>
    </row>
    <row r="3" spans="1: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</row>
    <row r="4" spans="1:5">
      <c r="A4" s="2" t="s">
        <v>19</v>
      </c>
      <c r="B4" s="17">
        <f>汇总视图!C16</f>
        <v>953534.17</v>
      </c>
      <c r="C4" s="6">
        <f>SUM(销售部!$C$3:$C$42)-SUMIF(销售部!$A$3:$A$42,"小计",销售部!$C$3:$C$42)</f>
        <v>953534.17</v>
      </c>
      <c r="D4" s="6">
        <f t="shared" ref="D4:D9" si="0">B4-C4</f>
        <v>0</v>
      </c>
      <c r="E4" s="10" t="b">
        <f t="shared" ref="E4:E9" si="1">ABS(D4)&lt;0.005</f>
        <v>1</v>
      </c>
    </row>
    <row r="5" spans="1:5">
      <c r="A5" s="2" t="s">
        <v>20</v>
      </c>
      <c r="B5" s="17">
        <f>汇总视图!D16</f>
        <v>2770281.01</v>
      </c>
      <c r="C5" s="6">
        <f>SUM(市场部!$B$4:$M$9)</f>
        <v>2770281.01</v>
      </c>
      <c r="D5" s="6">
        <f t="shared" si="0"/>
        <v>0</v>
      </c>
      <c r="E5" s="10" t="b">
        <f t="shared" si="1"/>
        <v>1</v>
      </c>
    </row>
    <row r="6" spans="1:5">
      <c r="A6" s="2" t="s">
        <v>21</v>
      </c>
      <c r="B6" s="17">
        <f>汇总视图!E16</f>
        <v>182863.26</v>
      </c>
      <c r="C6" s="6">
        <f>SUM(后勤部!$C$4:$C$9)+SUM(后勤部!$G$4:$G$9)</f>
        <v>182863.26</v>
      </c>
      <c r="D6" s="6">
        <f t="shared" si="0"/>
        <v>0</v>
      </c>
      <c r="E6" s="10" t="b">
        <f t="shared" si="1"/>
        <v>1</v>
      </c>
    </row>
    <row r="7" spans="1:5">
      <c r="A7" s="2" t="s">
        <v>22</v>
      </c>
      <c r="B7" s="17">
        <f>汇总视图!F16</f>
        <v>8478067.2</v>
      </c>
      <c r="C7" s="6">
        <f>SUM(人事部!$C$3:$C$38)</f>
        <v>8478067.2</v>
      </c>
      <c r="D7" s="6">
        <f t="shared" si="0"/>
        <v>0</v>
      </c>
      <c r="E7" s="10" t="b">
        <f t="shared" si="1"/>
        <v>1</v>
      </c>
    </row>
    <row r="8" spans="1:5">
      <c r="A8" s="2" t="s">
        <v>23</v>
      </c>
      <c r="B8" s="17">
        <f>汇总视图!G16</f>
        <v>1766393.55</v>
      </c>
      <c r="C8" s="6">
        <f>SUM(研发部!$C$3:$C$38)</f>
        <v>1766393.55</v>
      </c>
      <c r="D8" s="6">
        <f t="shared" si="0"/>
        <v>0</v>
      </c>
      <c r="E8" s="10" t="b">
        <f t="shared" si="1"/>
        <v>1</v>
      </c>
    </row>
    <row r="9" spans="1:5">
      <c r="A9" s="2" t="s">
        <v>24</v>
      </c>
      <c r="B9" s="17">
        <f>汇总视图!H16</f>
        <v>912880.4</v>
      </c>
      <c r="C9" s="6">
        <f>SUM(行政部!$C$3:$C$56)</f>
        <v>912880.4</v>
      </c>
      <c r="D9" s="6">
        <f t="shared" si="0"/>
        <v>0</v>
      </c>
      <c r="E9" s="10" t="b">
        <f t="shared" si="1"/>
        <v>1</v>
      </c>
    </row>
    <row r="11" spans="1:5">
      <c r="A11" s="18" t="s">
        <v>32</v>
      </c>
    </row>
    <row r="12" spans="1:5">
      <c r="A12" s="1" t="s">
        <v>33</v>
      </c>
      <c r="B12" s="1" t="s">
        <v>34</v>
      </c>
      <c r="C12" s="1" t="s">
        <v>31</v>
      </c>
    </row>
    <row r="13" spans="1:5">
      <c r="A13" s="2" t="s">
        <v>35</v>
      </c>
      <c r="B13" s="6">
        <f>SUMPRODUCT(((TRIM(研发部!$B$3:$B$38)="出差费用")+(TRIM(研发部!$B$3:$B$38)="差旅报销")&gt;0)*研发部!$C$3:$C$38)</f>
        <v>624556.39</v>
      </c>
    </row>
    <row r="14" spans="1:5">
      <c r="A14" s="2" t="s">
        <v>36</v>
      </c>
      <c r="B14" s="6">
        <f>SUMPRODUCT(((TRIM(研发部!$B$3:$B$38)="日常办公")+(TRIM(研发部!$B$3:$B$38)="办公用品")&gt;0)*研发部!$C$3:$C$38)</f>
        <v>596296.39</v>
      </c>
    </row>
    <row r="15" spans="1:5">
      <c r="A15" s="2" t="s">
        <v>37</v>
      </c>
      <c r="B15" s="6">
        <f>SUMPRODUCT(((TRIM(研发部!$B$3:$B$38)="实验耗材")+(TRIM(研发部!$B$3:$B$38)="耗材领用")&gt;0)*研发部!$C$3:$C$38)</f>
        <v>545540.77</v>
      </c>
    </row>
    <row r="16" ht="14.25" spans="1:5">
      <c r="A16" s="19" t="s">
        <v>25</v>
      </c>
      <c r="B16" s="20">
        <f>SUM(B13:B15)</f>
        <v>1766393.55</v>
      </c>
      <c r="C16" s="10" t="b">
        <f>ABS(B16-SUM(研发部!$C$3:$C$38))&lt;0.005</f>
        <v>1</v>
      </c>
    </row>
    <row r="17" ht="14.25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A1" sqref="A1"/>
    </sheetView>
  </sheetViews>
  <sheetFormatPr defaultColWidth="9" defaultRowHeight="13.5" outlineLevelCol="3"/>
  <cols>
    <col min="1" max="1" width="10" customWidth="1"/>
    <col min="2" max="2" width="16" customWidth="1"/>
    <col min="3" max="3" width="14" customWidth="1"/>
    <col min="4" max="4" width="12" hidden="1" customWidth="1"/>
  </cols>
  <sheetData>
    <row r="1" spans="1:4">
      <c r="A1" s="3" t="s">
        <v>38</v>
      </c>
    </row>
    <row r="2" spans="1:4">
      <c r="A2" s="1" t="s">
        <v>18</v>
      </c>
      <c r="B2" s="1" t="s">
        <v>39</v>
      </c>
      <c r="C2" s="1" t="s">
        <v>40</v>
      </c>
      <c r="D2" s="1" t="s">
        <v>41</v>
      </c>
    </row>
    <row r="3" spans="1:4">
      <c r="A3" s="4">
        <v>1</v>
      </c>
      <c r="B3" s="5" t="s">
        <v>35</v>
      </c>
      <c r="C3" s="6">
        <v>48222.78</v>
      </c>
      <c r="D3" s="11">
        <v>2</v>
      </c>
    </row>
    <row r="4" spans="1:4">
      <c r="A4" s="4">
        <v>1</v>
      </c>
      <c r="B4" s="5" t="s">
        <v>42</v>
      </c>
      <c r="C4" s="6">
        <v>50287.43</v>
      </c>
      <c r="D4" s="11">
        <v>35</v>
      </c>
    </row>
    <row r="5" spans="1:4">
      <c r="A5" s="4">
        <v>1</v>
      </c>
      <c r="B5" s="5" t="s">
        <v>43</v>
      </c>
      <c r="C5" s="6">
        <v>19080.78</v>
      </c>
      <c r="D5" s="11">
        <v>39</v>
      </c>
    </row>
    <row r="6" spans="1:4">
      <c r="A6" s="4">
        <v>2</v>
      </c>
      <c r="B6" s="5" t="s">
        <v>35</v>
      </c>
      <c r="C6" s="6">
        <v>19660.68</v>
      </c>
      <c r="D6" s="11">
        <v>12</v>
      </c>
    </row>
    <row r="7" spans="1:4">
      <c r="A7" s="4">
        <v>2</v>
      </c>
      <c r="B7" s="5" t="s">
        <v>42</v>
      </c>
      <c r="C7" s="6">
        <v>50469.91</v>
      </c>
      <c r="D7" s="11">
        <v>22</v>
      </c>
    </row>
    <row r="8" spans="1:4">
      <c r="A8" s="4">
        <v>2</v>
      </c>
      <c r="B8" s="5" t="s">
        <v>43</v>
      </c>
      <c r="C8" s="6">
        <v>17109.3</v>
      </c>
      <c r="D8" s="11">
        <v>24</v>
      </c>
    </row>
    <row r="9" spans="1:4">
      <c r="A9" s="4">
        <v>3</v>
      </c>
      <c r="B9" s="5" t="s">
        <v>35</v>
      </c>
      <c r="C9" s="6">
        <v>20980.94</v>
      </c>
      <c r="D9" s="11">
        <v>17</v>
      </c>
    </row>
    <row r="10" spans="1:4">
      <c r="A10" s="4">
        <v>3</v>
      </c>
      <c r="B10" s="5" t="s">
        <v>42</v>
      </c>
      <c r="C10" s="6">
        <v>35206.51</v>
      </c>
      <c r="D10" s="11">
        <v>24</v>
      </c>
    </row>
    <row r="11" spans="1:4">
      <c r="A11" s="4">
        <v>3</v>
      </c>
      <c r="B11" s="5" t="s">
        <v>43</v>
      </c>
      <c r="C11" s="6">
        <v>23365.59</v>
      </c>
      <c r="D11" s="11">
        <v>13</v>
      </c>
    </row>
    <row r="12" spans="1:4">
      <c r="A12" s="14" t="s">
        <v>44</v>
      </c>
      <c r="B12" s="15" t="s">
        <v>45</v>
      </c>
      <c r="C12" s="16">
        <f>SUM(C9:C11)</f>
        <v>79553.04</v>
      </c>
      <c r="D12" s="15" t="s">
        <v>45</v>
      </c>
    </row>
    <row r="13" spans="1:4">
      <c r="A13" s="4">
        <v>4</v>
      </c>
      <c r="B13" s="5" t="s">
        <v>35</v>
      </c>
      <c r="C13" s="6">
        <v>6637.34</v>
      </c>
      <c r="D13" s="11">
        <v>31</v>
      </c>
    </row>
    <row r="14" spans="1:4">
      <c r="A14" s="4">
        <v>4</v>
      </c>
      <c r="B14" s="5" t="s">
        <v>42</v>
      </c>
      <c r="C14" s="6">
        <v>872.29</v>
      </c>
      <c r="D14" s="11">
        <v>5</v>
      </c>
    </row>
    <row r="15" spans="1:4">
      <c r="A15" s="4">
        <v>4</v>
      </c>
      <c r="B15" s="5" t="s">
        <v>43</v>
      </c>
      <c r="C15" s="6">
        <v>34071.79</v>
      </c>
      <c r="D15" s="11">
        <v>28</v>
      </c>
    </row>
    <row r="16" spans="1:4">
      <c r="A16" s="4">
        <v>5</v>
      </c>
      <c r="B16" s="5" t="s">
        <v>35</v>
      </c>
      <c r="C16" s="6">
        <v>53377.25</v>
      </c>
      <c r="D16" s="11">
        <v>25</v>
      </c>
    </row>
    <row r="17" spans="1:4">
      <c r="A17" s="4">
        <v>5</v>
      </c>
      <c r="B17" s="5" t="s">
        <v>42</v>
      </c>
      <c r="C17" s="6">
        <v>37067.11</v>
      </c>
      <c r="D17" s="11">
        <v>1</v>
      </c>
    </row>
    <row r="18" spans="1:4">
      <c r="A18" s="4">
        <v>5</v>
      </c>
      <c r="B18" s="5" t="s">
        <v>43</v>
      </c>
      <c r="C18" s="6">
        <v>5274.27</v>
      </c>
      <c r="D18" s="11">
        <v>1</v>
      </c>
    </row>
    <row r="19" spans="1:4">
      <c r="A19" s="4">
        <v>6</v>
      </c>
      <c r="B19" s="5" t="s">
        <v>35</v>
      </c>
      <c r="C19" s="6">
        <v>36508.81</v>
      </c>
      <c r="D19" s="11">
        <v>36</v>
      </c>
    </row>
    <row r="20" spans="1:4">
      <c r="A20" s="4">
        <v>6</v>
      </c>
      <c r="B20" s="5" t="s">
        <v>42</v>
      </c>
      <c r="C20" s="6">
        <v>5425.84</v>
      </c>
      <c r="D20" s="11">
        <v>25</v>
      </c>
    </row>
    <row r="21" spans="1:4">
      <c r="A21" s="4">
        <v>6</v>
      </c>
      <c r="B21" s="5" t="s">
        <v>43</v>
      </c>
      <c r="C21" s="6">
        <v>27323.04</v>
      </c>
      <c r="D21" s="11">
        <v>23</v>
      </c>
    </row>
    <row r="22" spans="1:4">
      <c r="A22" s="14" t="s">
        <v>44</v>
      </c>
      <c r="B22" s="15" t="s">
        <v>45</v>
      </c>
      <c r="C22" s="16">
        <f>SUM(C19:C21)</f>
        <v>69257.69</v>
      </c>
      <c r="D22" s="15" t="s">
        <v>45</v>
      </c>
    </row>
    <row r="23" spans="1:4">
      <c r="A23" s="4">
        <v>7</v>
      </c>
      <c r="B23" s="5" t="s">
        <v>35</v>
      </c>
      <c r="C23" s="6">
        <v>38649.67</v>
      </c>
      <c r="D23" s="11">
        <v>17</v>
      </c>
    </row>
    <row r="24" spans="1:4">
      <c r="A24" s="4">
        <v>7</v>
      </c>
      <c r="B24" s="5" t="s">
        <v>42</v>
      </c>
      <c r="C24" s="6">
        <v>40875.72</v>
      </c>
      <c r="D24" s="11">
        <v>14</v>
      </c>
    </row>
    <row r="25" spans="1:4">
      <c r="A25" s="4">
        <v>7</v>
      </c>
      <c r="B25" s="5" t="s">
        <v>43</v>
      </c>
      <c r="C25" s="6">
        <v>17930.76</v>
      </c>
      <c r="D25" s="11">
        <v>19</v>
      </c>
    </row>
    <row r="26" spans="1:4">
      <c r="A26" s="4">
        <v>8</v>
      </c>
      <c r="B26" s="5" t="s">
        <v>35</v>
      </c>
      <c r="C26" s="6">
        <v>56629.78</v>
      </c>
      <c r="D26" s="11">
        <v>9</v>
      </c>
    </row>
    <row r="27" spans="1:4">
      <c r="A27" s="4">
        <v>8</v>
      </c>
      <c r="B27" s="5" t="s">
        <v>42</v>
      </c>
      <c r="C27" s="6">
        <v>7081.92</v>
      </c>
      <c r="D27" s="11">
        <v>30</v>
      </c>
    </row>
    <row r="28" spans="1:4">
      <c r="A28" s="4">
        <v>8</v>
      </c>
      <c r="B28" s="5" t="s">
        <v>43</v>
      </c>
      <c r="C28" s="6">
        <v>47415.32</v>
      </c>
      <c r="D28" s="11">
        <v>6</v>
      </c>
    </row>
    <row r="29" spans="1:4">
      <c r="A29" s="4">
        <v>9</v>
      </c>
      <c r="B29" s="5" t="s">
        <v>35</v>
      </c>
      <c r="C29" s="6">
        <v>2054.87</v>
      </c>
      <c r="D29" s="11">
        <v>27</v>
      </c>
    </row>
    <row r="30" spans="1:4">
      <c r="A30" s="4">
        <v>9</v>
      </c>
      <c r="B30" s="5" t="s">
        <v>42</v>
      </c>
      <c r="C30" s="6">
        <v>9889.6</v>
      </c>
      <c r="D30" s="11">
        <v>28</v>
      </c>
    </row>
    <row r="31" spans="1:4">
      <c r="A31" s="4">
        <v>9</v>
      </c>
      <c r="B31" s="5" t="s">
        <v>43</v>
      </c>
      <c r="C31" s="6">
        <v>58855.87</v>
      </c>
      <c r="D31" s="11">
        <v>17</v>
      </c>
    </row>
    <row r="32" spans="1:4">
      <c r="A32" s="14" t="s">
        <v>44</v>
      </c>
      <c r="B32" s="15" t="s">
        <v>45</v>
      </c>
      <c r="C32" s="16">
        <f>SUM(C29:C31)</f>
        <v>70800.34</v>
      </c>
      <c r="D32" s="15" t="s">
        <v>45</v>
      </c>
    </row>
    <row r="33" spans="1:4">
      <c r="A33" s="4">
        <v>10</v>
      </c>
      <c r="B33" s="5" t="s">
        <v>35</v>
      </c>
      <c r="C33" s="6">
        <v>16263.68</v>
      </c>
      <c r="D33" s="11">
        <v>40</v>
      </c>
    </row>
    <row r="34" spans="1:4">
      <c r="A34" s="4">
        <v>10</v>
      </c>
      <c r="B34" s="5" t="s">
        <v>42</v>
      </c>
      <c r="C34" s="6">
        <v>8938.45</v>
      </c>
      <c r="D34" s="11">
        <v>25</v>
      </c>
    </row>
    <row r="35" spans="1:4">
      <c r="A35" s="4">
        <v>10</v>
      </c>
      <c r="B35" s="5" t="s">
        <v>43</v>
      </c>
      <c r="C35" s="6">
        <v>14248.02</v>
      </c>
      <c r="D35" s="11">
        <v>14</v>
      </c>
    </row>
    <row r="36" spans="1:4">
      <c r="A36" s="4">
        <v>11</v>
      </c>
      <c r="B36" s="5" t="s">
        <v>35</v>
      </c>
      <c r="C36" s="6">
        <v>17869.84</v>
      </c>
      <c r="D36" s="11">
        <v>30</v>
      </c>
    </row>
    <row r="37" spans="1:4">
      <c r="A37" s="4">
        <v>11</v>
      </c>
      <c r="B37" s="5" t="s">
        <v>42</v>
      </c>
      <c r="C37" s="6">
        <v>17490.97</v>
      </c>
      <c r="D37" s="11">
        <v>22</v>
      </c>
    </row>
    <row r="38" spans="1:4">
      <c r="A38" s="4">
        <v>11</v>
      </c>
      <c r="B38" s="5" t="s">
        <v>43</v>
      </c>
      <c r="C38" s="6">
        <v>26775.69</v>
      </c>
      <c r="D38" s="11">
        <v>17</v>
      </c>
    </row>
    <row r="39" spans="1:4">
      <c r="A39" s="4">
        <v>12</v>
      </c>
      <c r="B39" s="5" t="s">
        <v>35</v>
      </c>
      <c r="C39" s="6">
        <v>58310.81</v>
      </c>
      <c r="D39" s="11">
        <v>40</v>
      </c>
    </row>
    <row r="40" spans="1:4">
      <c r="A40" s="4">
        <v>12</v>
      </c>
      <c r="B40" s="5" t="s">
        <v>42</v>
      </c>
      <c r="C40" s="6">
        <v>5628.6</v>
      </c>
      <c r="D40" s="11">
        <v>20</v>
      </c>
    </row>
    <row r="41" spans="1:4">
      <c r="A41" s="4">
        <v>12</v>
      </c>
      <c r="B41" s="5" t="s">
        <v>43</v>
      </c>
      <c r="C41" s="6">
        <v>17682.94</v>
      </c>
      <c r="D41" s="11">
        <v>32</v>
      </c>
    </row>
    <row r="42" spans="1:4">
      <c r="A42" s="14" t="s">
        <v>44</v>
      </c>
      <c r="B42" s="15" t="s">
        <v>45</v>
      </c>
      <c r="C42" s="16">
        <f>SUM(C39:C41)</f>
        <v>81622.35</v>
      </c>
      <c r="D42" s="15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A1" sqref="A1"/>
    </sheetView>
  </sheetViews>
  <sheetFormatPr defaultColWidth="9" defaultRowHeight="13.5"/>
  <cols>
    <col min="15" max="15" width="13" hidden="1" customWidth="1"/>
  </cols>
  <sheetData>
    <row r="1" spans="1:15">
      <c r="A1" s="3" t="s">
        <v>46</v>
      </c>
    </row>
    <row r="3" spans="1:15">
      <c r="A3" s="1" t="s">
        <v>39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O3" s="1" t="s">
        <v>59</v>
      </c>
    </row>
    <row r="4" spans="1:15">
      <c r="A4" s="2" t="s">
        <v>60</v>
      </c>
      <c r="B4" s="6">
        <v>65203.76</v>
      </c>
      <c r="C4" s="6">
        <v>54121.04</v>
      </c>
      <c r="D4" s="6">
        <v>41901.72</v>
      </c>
      <c r="E4" s="6">
        <v>63092.49</v>
      </c>
      <c r="F4" s="6">
        <v>26370.54</v>
      </c>
      <c r="G4" s="6">
        <v>52604.47</v>
      </c>
      <c r="H4" s="6">
        <v>23469.72</v>
      </c>
      <c r="I4" s="6">
        <v>49145.16</v>
      </c>
      <c r="J4" s="6">
        <v>47130.47</v>
      </c>
      <c r="K4" s="6">
        <v>13055.48</v>
      </c>
      <c r="L4" s="6">
        <v>30960.09</v>
      </c>
      <c r="M4" s="6">
        <v>65985.44</v>
      </c>
      <c r="O4" s="11">
        <v>6089</v>
      </c>
    </row>
    <row r="5" spans="1:15">
      <c r="A5" s="2" t="s">
        <v>61</v>
      </c>
      <c r="B5" s="6">
        <v>50602.44</v>
      </c>
      <c r="C5" s="6">
        <v>38179.19</v>
      </c>
      <c r="D5" s="6">
        <v>45080.02</v>
      </c>
      <c r="E5" s="6">
        <v>52974.33</v>
      </c>
      <c r="F5" s="6">
        <v>60716.79</v>
      </c>
      <c r="G5" s="6">
        <v>65576.42</v>
      </c>
      <c r="H5" s="6">
        <v>31118.27</v>
      </c>
      <c r="I5" s="6">
        <v>45160.72</v>
      </c>
      <c r="J5" s="6">
        <v>69515.6</v>
      </c>
      <c r="K5" s="6">
        <v>4992.27</v>
      </c>
      <c r="L5" s="6">
        <v>46954.86</v>
      </c>
      <c r="M5" s="6">
        <v>58122.66</v>
      </c>
      <c r="O5" s="11">
        <v>5047</v>
      </c>
    </row>
    <row r="6" spans="1:15">
      <c r="A6" s="2" t="s">
        <v>62</v>
      </c>
      <c r="B6" s="6">
        <v>27318.73</v>
      </c>
      <c r="C6" s="6">
        <v>9397.3</v>
      </c>
      <c r="D6" s="6">
        <v>23493.82</v>
      </c>
      <c r="E6" s="6">
        <v>41938.77</v>
      </c>
      <c r="F6" s="6">
        <v>8175.02</v>
      </c>
      <c r="G6" s="6">
        <v>47021.69</v>
      </c>
      <c r="H6" s="6">
        <v>30857.2</v>
      </c>
      <c r="I6" s="6">
        <v>21851.35</v>
      </c>
      <c r="J6" s="6">
        <v>72047.84</v>
      </c>
      <c r="K6" s="6">
        <v>14079.76</v>
      </c>
      <c r="L6" s="6">
        <v>37005.61</v>
      </c>
      <c r="M6" s="6">
        <v>39060.88</v>
      </c>
      <c r="O6" s="11">
        <v>9957</v>
      </c>
    </row>
    <row r="7" spans="1:15">
      <c r="A7" s="2" t="s">
        <v>63</v>
      </c>
      <c r="B7" s="6">
        <v>54443.29</v>
      </c>
      <c r="C7" s="6">
        <v>2336.39</v>
      </c>
      <c r="D7" s="6">
        <v>31238.67</v>
      </c>
      <c r="E7" s="6">
        <v>10951.58</v>
      </c>
      <c r="F7" s="6">
        <v>4276.69</v>
      </c>
      <c r="G7" s="6">
        <v>47858.26</v>
      </c>
      <c r="H7" s="6">
        <v>29253.42</v>
      </c>
      <c r="I7" s="6">
        <v>11429.36</v>
      </c>
      <c r="J7" s="6">
        <v>70348.99</v>
      </c>
      <c r="K7" s="6">
        <v>20848.82</v>
      </c>
      <c r="L7" s="6">
        <v>40028.26</v>
      </c>
      <c r="M7" s="6">
        <v>20474.96</v>
      </c>
      <c r="O7" s="11">
        <v>3849</v>
      </c>
    </row>
    <row r="8" spans="1:15">
      <c r="A8" s="2" t="s">
        <v>64</v>
      </c>
      <c r="B8" s="6">
        <v>20490.36</v>
      </c>
      <c r="C8" s="6">
        <v>13326.83</v>
      </c>
      <c r="D8" s="6">
        <v>56905.23</v>
      </c>
      <c r="E8" s="6">
        <v>71704.99</v>
      </c>
      <c r="F8" s="6">
        <v>61686.03</v>
      </c>
      <c r="G8" s="6">
        <v>7900.58</v>
      </c>
      <c r="H8" s="6">
        <v>18135.18</v>
      </c>
      <c r="I8" s="6">
        <v>57098.41</v>
      </c>
      <c r="J8" s="6">
        <v>17208.18</v>
      </c>
      <c r="K8" s="6">
        <v>45159.42</v>
      </c>
      <c r="L8" s="6">
        <v>33435.28</v>
      </c>
      <c r="M8" s="6">
        <v>31213.61</v>
      </c>
      <c r="O8" s="11">
        <v>1547</v>
      </c>
    </row>
    <row r="9" spans="1:15">
      <c r="A9" s="2" t="s">
        <v>65</v>
      </c>
      <c r="B9" s="6">
        <v>79615.49</v>
      </c>
      <c r="C9" s="6">
        <v>35088.79</v>
      </c>
      <c r="D9" s="6">
        <v>51075.48</v>
      </c>
      <c r="E9" s="6">
        <v>78676.73</v>
      </c>
      <c r="F9" s="6">
        <v>48169.3</v>
      </c>
      <c r="G9" s="6">
        <v>26319.95</v>
      </c>
      <c r="H9" s="6">
        <v>3129.86</v>
      </c>
      <c r="I9" s="6">
        <v>7470.9</v>
      </c>
      <c r="J9" s="6">
        <v>51021.76</v>
      </c>
      <c r="K9" s="6">
        <v>72969.91</v>
      </c>
      <c r="L9" s="6">
        <v>37800.26</v>
      </c>
      <c r="M9" s="6">
        <v>26907.87</v>
      </c>
      <c r="O9" s="11">
        <v>2354</v>
      </c>
    </row>
    <row r="10" spans="1:15">
      <c r="A10" s="12" t="s">
        <v>25</v>
      </c>
      <c r="B10" s="13">
        <f t="shared" ref="B10:M10" si="0">SUM(B4:B9)</f>
        <v>297674.07</v>
      </c>
      <c r="C10" s="13">
        <f t="shared" si="0"/>
        <v>152449.54</v>
      </c>
      <c r="D10" s="13">
        <f t="shared" si="0"/>
        <v>249694.94</v>
      </c>
      <c r="E10" s="13">
        <f t="shared" si="0"/>
        <v>319338.89</v>
      </c>
      <c r="F10" s="13">
        <f t="shared" si="0"/>
        <v>209394.37</v>
      </c>
      <c r="G10" s="13">
        <f t="shared" si="0"/>
        <v>247281.37</v>
      </c>
      <c r="H10" s="13">
        <f t="shared" si="0"/>
        <v>135963.65</v>
      </c>
      <c r="I10" s="13">
        <f t="shared" si="0"/>
        <v>192155.9</v>
      </c>
      <c r="J10" s="13">
        <f t="shared" si="0"/>
        <v>327272.84</v>
      </c>
      <c r="K10" s="13">
        <f t="shared" si="0"/>
        <v>171105.66</v>
      </c>
      <c r="L10" s="13">
        <f t="shared" si="0"/>
        <v>226184.36</v>
      </c>
      <c r="M10" s="13">
        <f t="shared" si="0"/>
        <v>241765.42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1" sqref="A1"/>
    </sheetView>
  </sheetViews>
  <sheetFormatPr defaultColWidth="9" defaultRowHeight="13.5"/>
  <cols>
    <col min="9" max="9" width="13" hidden="1" customWidth="1"/>
  </cols>
  <sheetData>
    <row r="1" spans="1:9">
      <c r="A1" s="3" t="s">
        <v>66</v>
      </c>
    </row>
    <row r="3" spans="1:9">
      <c r="A3" s="1" t="s">
        <v>18</v>
      </c>
      <c r="B3" s="1" t="s">
        <v>39</v>
      </c>
      <c r="C3" s="1" t="s">
        <v>40</v>
      </c>
      <c r="E3" s="1" t="s">
        <v>18</v>
      </c>
      <c r="F3" s="1" t="s">
        <v>39</v>
      </c>
      <c r="G3" s="1" t="s">
        <v>40</v>
      </c>
      <c r="I3" s="9" t="s">
        <v>67</v>
      </c>
    </row>
    <row r="4" spans="1:9">
      <c r="A4" s="10">
        <v>1</v>
      </c>
      <c r="B4" s="2" t="s">
        <v>68</v>
      </c>
      <c r="C4" s="6">
        <v>8709.3</v>
      </c>
      <c r="E4" s="10">
        <v>7</v>
      </c>
      <c r="F4" s="2" t="s">
        <v>68</v>
      </c>
      <c r="G4" s="6">
        <v>15141.56</v>
      </c>
      <c r="I4" s="11">
        <v>30</v>
      </c>
    </row>
    <row r="5" spans="1:9">
      <c r="A5" s="10">
        <v>2</v>
      </c>
      <c r="B5" s="2" t="s">
        <v>69</v>
      </c>
      <c r="C5" s="6">
        <v>26727.53</v>
      </c>
      <c r="E5" s="10">
        <v>8</v>
      </c>
      <c r="F5" s="2" t="s">
        <v>69</v>
      </c>
      <c r="G5" s="6">
        <v>22863.77</v>
      </c>
      <c r="I5" s="11">
        <v>28</v>
      </c>
    </row>
    <row r="6" spans="1:9">
      <c r="A6" s="10">
        <v>3</v>
      </c>
      <c r="B6" s="2" t="s">
        <v>70</v>
      </c>
      <c r="C6" s="6">
        <v>2969.97</v>
      </c>
      <c r="E6" s="10">
        <v>9</v>
      </c>
      <c r="F6" s="2" t="s">
        <v>70</v>
      </c>
      <c r="G6" s="6">
        <v>14858.17</v>
      </c>
      <c r="I6" s="11">
        <v>21</v>
      </c>
    </row>
    <row r="7" spans="1:9">
      <c r="A7" s="10">
        <v>4</v>
      </c>
      <c r="B7" s="2" t="s">
        <v>68</v>
      </c>
      <c r="C7" s="6">
        <v>26519</v>
      </c>
      <c r="E7" s="10">
        <v>10</v>
      </c>
      <c r="F7" s="2" t="s">
        <v>68</v>
      </c>
      <c r="G7" s="6">
        <v>2719.13</v>
      </c>
      <c r="I7" s="11">
        <v>89</v>
      </c>
    </row>
    <row r="8" spans="1:9">
      <c r="A8" s="10">
        <v>5</v>
      </c>
      <c r="B8" s="2" t="s">
        <v>69</v>
      </c>
      <c r="C8" s="6">
        <v>16948.27</v>
      </c>
      <c r="E8" s="10">
        <v>11</v>
      </c>
      <c r="F8" s="2" t="s">
        <v>69</v>
      </c>
      <c r="G8" s="6">
        <v>20786.18</v>
      </c>
      <c r="I8" s="11">
        <v>78</v>
      </c>
    </row>
    <row r="9" spans="1:9">
      <c r="A9" s="10">
        <v>6</v>
      </c>
      <c r="B9" s="2" t="s">
        <v>70</v>
      </c>
      <c r="C9" s="6">
        <v>19962.3</v>
      </c>
      <c r="E9" s="10">
        <v>12</v>
      </c>
      <c r="F9" s="2" t="s">
        <v>70</v>
      </c>
      <c r="G9" s="6">
        <v>4658.08</v>
      </c>
      <c r="I9" s="11">
        <v>35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A1" sqref="A1"/>
    </sheetView>
  </sheetViews>
  <sheetFormatPr defaultColWidth="9" defaultRowHeight="13.5" outlineLevelCol="4"/>
  <cols>
    <col min="5" max="5" width="13" hidden="1" customWidth="1"/>
  </cols>
  <sheetData>
    <row r="1" spans="1:5">
      <c r="A1" s="3" t="s">
        <v>71</v>
      </c>
    </row>
    <row r="2" spans="1:5">
      <c r="A2" s="1" t="s">
        <v>18</v>
      </c>
      <c r="B2" s="1" t="s">
        <v>39</v>
      </c>
      <c r="C2" s="1" t="s">
        <v>40</v>
      </c>
      <c r="D2" s="1" t="s">
        <v>72</v>
      </c>
      <c r="E2" s="9" t="s">
        <v>73</v>
      </c>
    </row>
    <row r="3" spans="1:5">
      <c r="A3" s="4">
        <v>1</v>
      </c>
      <c r="B3" s="5" t="s">
        <v>74</v>
      </c>
      <c r="C3" s="6">
        <v>156796.86</v>
      </c>
      <c r="D3" s="5" t="s">
        <v>45</v>
      </c>
      <c r="E3" s="4">
        <f t="shared" ref="E3:E38" si="0">IF(A3&lt;&gt;"",A3,E2)</f>
        <v>1</v>
      </c>
    </row>
    <row r="4" spans="1:5">
      <c r="B4" s="5" t="s">
        <v>75</v>
      </c>
      <c r="C4" s="6">
        <v>99743.05</v>
      </c>
      <c r="D4" s="5" t="s">
        <v>45</v>
      </c>
      <c r="E4" s="4">
        <f t="shared" si="0"/>
        <v>1</v>
      </c>
    </row>
    <row r="5" spans="1:5">
      <c r="B5" s="5" t="s">
        <v>76</v>
      </c>
      <c r="C5" s="6">
        <v>395055.34</v>
      </c>
      <c r="D5" s="5" t="s">
        <v>45</v>
      </c>
      <c r="E5" s="4">
        <f t="shared" si="0"/>
        <v>1</v>
      </c>
    </row>
    <row r="6" spans="1:5">
      <c r="A6" s="4">
        <v>2</v>
      </c>
      <c r="B6" s="5" t="s">
        <v>74</v>
      </c>
      <c r="C6" s="6">
        <v>302828.63</v>
      </c>
      <c r="D6" s="5" t="s">
        <v>45</v>
      </c>
      <c r="E6" s="4">
        <f t="shared" si="0"/>
        <v>2</v>
      </c>
    </row>
    <row r="7" spans="1:5">
      <c r="B7" s="5" t="s">
        <v>75</v>
      </c>
      <c r="C7" s="6">
        <v>161996.01</v>
      </c>
      <c r="D7" s="5" t="s">
        <v>45</v>
      </c>
      <c r="E7" s="4">
        <f t="shared" si="0"/>
        <v>2</v>
      </c>
    </row>
    <row r="8" spans="1:5">
      <c r="B8" s="5" t="s">
        <v>76</v>
      </c>
      <c r="C8" s="6">
        <v>167236.94</v>
      </c>
      <c r="D8" s="5" t="s">
        <v>45</v>
      </c>
      <c r="E8" s="4">
        <f t="shared" si="0"/>
        <v>2</v>
      </c>
    </row>
    <row r="9" spans="1:5">
      <c r="A9" s="4">
        <v>3</v>
      </c>
      <c r="B9" s="5" t="s">
        <v>74</v>
      </c>
      <c r="C9" s="6">
        <v>376781.54</v>
      </c>
      <c r="D9" s="5" t="s">
        <v>45</v>
      </c>
      <c r="E9" s="4">
        <f t="shared" si="0"/>
        <v>3</v>
      </c>
    </row>
    <row r="10" spans="1:5">
      <c r="B10" s="5" t="s">
        <v>75</v>
      </c>
      <c r="C10" s="6">
        <v>328057.74</v>
      </c>
      <c r="D10" s="5" t="s">
        <v>45</v>
      </c>
      <c r="E10" s="4">
        <f t="shared" si="0"/>
        <v>3</v>
      </c>
    </row>
    <row r="11" spans="1:5">
      <c r="B11" s="5" t="s">
        <v>76</v>
      </c>
      <c r="C11" s="6">
        <v>34795.5</v>
      </c>
      <c r="D11" s="5" t="s">
        <v>45</v>
      </c>
      <c r="E11" s="4">
        <f t="shared" si="0"/>
        <v>3</v>
      </c>
    </row>
    <row r="12" spans="1:5">
      <c r="A12" s="4">
        <v>4</v>
      </c>
      <c r="B12" s="5" t="s">
        <v>74</v>
      </c>
      <c r="C12" s="6">
        <v>132331.44</v>
      </c>
      <c r="D12" s="5" t="s">
        <v>45</v>
      </c>
      <c r="E12" s="4">
        <f t="shared" si="0"/>
        <v>4</v>
      </c>
    </row>
    <row r="13" spans="1:5">
      <c r="B13" s="5" t="s">
        <v>75</v>
      </c>
      <c r="C13" s="6">
        <v>251284.97</v>
      </c>
      <c r="D13" s="5" t="s">
        <v>45</v>
      </c>
      <c r="E13" s="4">
        <f t="shared" si="0"/>
        <v>4</v>
      </c>
    </row>
    <row r="14" spans="1:5">
      <c r="B14" s="5" t="s">
        <v>76</v>
      </c>
      <c r="C14" s="6">
        <v>161305.37</v>
      </c>
      <c r="D14" s="5" t="s">
        <v>45</v>
      </c>
      <c r="E14" s="4">
        <f t="shared" si="0"/>
        <v>4</v>
      </c>
    </row>
    <row r="15" spans="1:5">
      <c r="A15" s="4">
        <v>5</v>
      </c>
      <c r="B15" s="5" t="s">
        <v>74</v>
      </c>
      <c r="C15" s="6">
        <v>202414.65</v>
      </c>
      <c r="D15" s="5" t="s">
        <v>45</v>
      </c>
      <c r="E15" s="4">
        <f t="shared" si="0"/>
        <v>5</v>
      </c>
    </row>
    <row r="16" spans="1:5">
      <c r="B16" s="5" t="s">
        <v>75</v>
      </c>
      <c r="C16" s="6">
        <v>350909.44</v>
      </c>
      <c r="D16" s="5" t="s">
        <v>45</v>
      </c>
      <c r="E16" s="4">
        <f t="shared" si="0"/>
        <v>5</v>
      </c>
    </row>
    <row r="17" spans="1:5">
      <c r="B17" s="5" t="s">
        <v>76</v>
      </c>
      <c r="C17" s="6">
        <v>183880.09</v>
      </c>
      <c r="D17" s="5" t="s">
        <v>45</v>
      </c>
      <c r="E17" s="4">
        <f t="shared" si="0"/>
        <v>5</v>
      </c>
    </row>
    <row r="18" spans="1:5">
      <c r="A18" s="4">
        <v>6</v>
      </c>
      <c r="B18" s="5" t="s">
        <v>74</v>
      </c>
      <c r="C18" s="6">
        <v>385819.37</v>
      </c>
      <c r="D18" s="5" t="s">
        <v>45</v>
      </c>
      <c r="E18" s="4">
        <f t="shared" si="0"/>
        <v>6</v>
      </c>
    </row>
    <row r="19" spans="1:5">
      <c r="B19" s="5" t="s">
        <v>75</v>
      </c>
      <c r="C19" s="6">
        <v>108012.18</v>
      </c>
      <c r="D19" s="5" t="s">
        <v>45</v>
      </c>
      <c r="E19" s="4">
        <f t="shared" si="0"/>
        <v>6</v>
      </c>
    </row>
    <row r="20" spans="1:5">
      <c r="B20" s="5" t="s">
        <v>76</v>
      </c>
      <c r="C20" s="6">
        <v>333090.31</v>
      </c>
      <c r="D20" s="5" t="s">
        <v>45</v>
      </c>
      <c r="E20" s="4">
        <f t="shared" si="0"/>
        <v>6</v>
      </c>
    </row>
    <row r="21" spans="1:5">
      <c r="A21" s="4">
        <v>7</v>
      </c>
      <c r="B21" s="5" t="s">
        <v>74</v>
      </c>
      <c r="C21" s="6">
        <v>339465.9</v>
      </c>
      <c r="D21" s="5" t="s">
        <v>45</v>
      </c>
      <c r="E21" s="4">
        <f t="shared" si="0"/>
        <v>7</v>
      </c>
    </row>
    <row r="22" spans="1:5">
      <c r="B22" s="5" t="s">
        <v>75</v>
      </c>
      <c r="C22" s="6">
        <v>293835.44</v>
      </c>
      <c r="D22" s="5" t="s">
        <v>45</v>
      </c>
      <c r="E22" s="4">
        <f t="shared" si="0"/>
        <v>7</v>
      </c>
    </row>
    <row r="23" spans="1:5">
      <c r="B23" s="5" t="s">
        <v>76</v>
      </c>
      <c r="C23" s="6">
        <v>389139.5</v>
      </c>
      <c r="D23" s="5" t="s">
        <v>45</v>
      </c>
      <c r="E23" s="4">
        <f t="shared" si="0"/>
        <v>7</v>
      </c>
    </row>
    <row r="24" spans="1:5">
      <c r="A24" s="4">
        <v>8</v>
      </c>
      <c r="B24" s="5" t="s">
        <v>74</v>
      </c>
      <c r="C24" s="6">
        <v>364280.91</v>
      </c>
      <c r="D24" s="5" t="s">
        <v>45</v>
      </c>
      <c r="E24" s="4">
        <f t="shared" si="0"/>
        <v>8</v>
      </c>
    </row>
    <row r="25" spans="1:5">
      <c r="B25" s="5" t="s">
        <v>75</v>
      </c>
      <c r="C25" s="6">
        <v>328756.1</v>
      </c>
      <c r="D25" s="5" t="s">
        <v>45</v>
      </c>
      <c r="E25" s="4">
        <f t="shared" si="0"/>
        <v>8</v>
      </c>
    </row>
    <row r="26" spans="1:5">
      <c r="B26" s="5" t="s">
        <v>76</v>
      </c>
      <c r="C26" s="6">
        <v>344838.64</v>
      </c>
      <c r="D26" s="5" t="s">
        <v>45</v>
      </c>
      <c r="E26" s="4">
        <f t="shared" si="0"/>
        <v>8</v>
      </c>
    </row>
    <row r="27" spans="1:5">
      <c r="A27" s="4">
        <v>9</v>
      </c>
      <c r="B27" s="5" t="s">
        <v>74</v>
      </c>
      <c r="C27" s="6">
        <v>95667.35</v>
      </c>
      <c r="D27" s="5" t="s">
        <v>45</v>
      </c>
      <c r="E27" s="4">
        <f t="shared" si="0"/>
        <v>9</v>
      </c>
    </row>
    <row r="28" spans="1:5">
      <c r="B28" s="5" t="s">
        <v>75</v>
      </c>
      <c r="C28" s="6">
        <v>336604.61</v>
      </c>
      <c r="D28" s="5" t="s">
        <v>45</v>
      </c>
      <c r="E28" s="4">
        <f t="shared" si="0"/>
        <v>9</v>
      </c>
    </row>
    <row r="29" spans="1:5">
      <c r="B29" s="5" t="s">
        <v>76</v>
      </c>
      <c r="C29" s="6">
        <v>108633.38</v>
      </c>
      <c r="D29" s="5" t="s">
        <v>45</v>
      </c>
      <c r="E29" s="4">
        <f t="shared" si="0"/>
        <v>9</v>
      </c>
    </row>
    <row r="30" spans="1:5">
      <c r="A30" s="4">
        <v>10</v>
      </c>
      <c r="B30" s="5" t="s">
        <v>74</v>
      </c>
      <c r="C30" s="6">
        <v>383627.57</v>
      </c>
      <c r="D30" s="5" t="s">
        <v>45</v>
      </c>
      <c r="E30" s="4">
        <f t="shared" si="0"/>
        <v>10</v>
      </c>
    </row>
    <row r="31" spans="1:5">
      <c r="B31" s="5" t="s">
        <v>75</v>
      </c>
      <c r="C31" s="6">
        <v>65925.75</v>
      </c>
      <c r="D31" s="5" t="s">
        <v>45</v>
      </c>
      <c r="E31" s="4">
        <f t="shared" si="0"/>
        <v>10</v>
      </c>
    </row>
    <row r="32" spans="1:5">
      <c r="B32" s="5" t="s">
        <v>76</v>
      </c>
      <c r="C32" s="6">
        <v>24692.04</v>
      </c>
      <c r="D32" s="5" t="s">
        <v>45</v>
      </c>
      <c r="E32" s="4">
        <f t="shared" si="0"/>
        <v>10</v>
      </c>
    </row>
    <row r="33" spans="1:5">
      <c r="A33" s="4">
        <v>11</v>
      </c>
      <c r="B33" s="5" t="s">
        <v>74</v>
      </c>
      <c r="C33" s="6">
        <v>95775.48</v>
      </c>
      <c r="D33" s="5" t="s">
        <v>45</v>
      </c>
      <c r="E33" s="4">
        <f t="shared" si="0"/>
        <v>11</v>
      </c>
    </row>
    <row r="34" spans="1:5">
      <c r="B34" s="5" t="s">
        <v>75</v>
      </c>
      <c r="C34" s="6">
        <v>108816.69</v>
      </c>
      <c r="D34" s="5" t="s">
        <v>45</v>
      </c>
      <c r="E34" s="4">
        <f t="shared" si="0"/>
        <v>11</v>
      </c>
    </row>
    <row r="35" spans="1:5">
      <c r="B35" s="5" t="s">
        <v>76</v>
      </c>
      <c r="C35" s="6">
        <v>382527.42</v>
      </c>
      <c r="D35" s="5" t="s">
        <v>45</v>
      </c>
      <c r="E35" s="4">
        <f t="shared" si="0"/>
        <v>11</v>
      </c>
    </row>
    <row r="36" spans="1:5">
      <c r="A36" s="4">
        <v>12</v>
      </c>
      <c r="B36" s="5" t="s">
        <v>74</v>
      </c>
      <c r="C36" s="6">
        <v>235648.61</v>
      </c>
      <c r="D36" s="5" t="s">
        <v>45</v>
      </c>
      <c r="E36" s="4">
        <f t="shared" si="0"/>
        <v>12</v>
      </c>
    </row>
    <row r="37" spans="1:5">
      <c r="B37" s="5" t="s">
        <v>75</v>
      </c>
      <c r="C37" s="6">
        <v>71673.93</v>
      </c>
      <c r="D37" s="5" t="s">
        <v>45</v>
      </c>
      <c r="E37" s="4">
        <f t="shared" si="0"/>
        <v>12</v>
      </c>
    </row>
    <row r="38" spans="1:5">
      <c r="B38" s="5" t="s">
        <v>76</v>
      </c>
      <c r="C38" s="6">
        <v>375818.45</v>
      </c>
      <c r="D38" s="5" t="s">
        <v>45</v>
      </c>
      <c r="E38" s="4">
        <f t="shared" si="0"/>
        <v>12</v>
      </c>
    </row>
  </sheetData>
  <mergeCells count="12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A1" sqref="A1"/>
    </sheetView>
  </sheetViews>
  <sheetFormatPr defaultColWidth="9" defaultRowHeight="13.5" outlineLevelCol="2"/>
  <sheetData>
    <row r="1" spans="1:3">
      <c r="A1" s="3" t="s">
        <v>77</v>
      </c>
    </row>
    <row r="2" spans="1:3">
      <c r="A2" s="1" t="s">
        <v>18</v>
      </c>
      <c r="B2" s="1" t="s">
        <v>39</v>
      </c>
      <c r="C2" s="1" t="s">
        <v>40</v>
      </c>
    </row>
    <row r="3" spans="1:3">
      <c r="A3" s="4" t="s">
        <v>78</v>
      </c>
      <c r="B3" s="5" t="s">
        <v>79</v>
      </c>
      <c r="C3" s="6">
        <v>64805.64</v>
      </c>
    </row>
    <row r="4" spans="1:3">
      <c r="A4" s="4" t="s">
        <v>78</v>
      </c>
      <c r="B4" s="5" t="s">
        <v>80</v>
      </c>
      <c r="C4" s="6">
        <v>87578.97</v>
      </c>
    </row>
    <row r="5" spans="1:3">
      <c r="A5" s="4" t="s">
        <v>78</v>
      </c>
      <c r="B5" s="5" t="s">
        <v>81</v>
      </c>
      <c r="C5" s="6">
        <v>22701.62</v>
      </c>
    </row>
    <row r="6" spans="1:3">
      <c r="A6" s="4" t="s">
        <v>82</v>
      </c>
      <c r="B6" s="5" t="s">
        <v>83</v>
      </c>
      <c r="C6" s="6">
        <v>45786.6</v>
      </c>
    </row>
    <row r="7" spans="1:3">
      <c r="A7" s="4" t="s">
        <v>82</v>
      </c>
      <c r="B7" s="5" t="s">
        <v>80</v>
      </c>
      <c r="C7" s="6">
        <v>24221.59</v>
      </c>
    </row>
    <row r="8" spans="1:3">
      <c r="A8" s="4" t="s">
        <v>82</v>
      </c>
      <c r="B8" s="5" t="s">
        <v>84</v>
      </c>
      <c r="C8" s="6">
        <v>32379.37</v>
      </c>
    </row>
    <row r="9" spans="1:3">
      <c r="A9" s="4" t="s">
        <v>85</v>
      </c>
      <c r="B9" s="5" t="s">
        <v>86</v>
      </c>
      <c r="C9" s="6">
        <v>52200.46</v>
      </c>
    </row>
    <row r="10" spans="1:3">
      <c r="A10" s="4" t="s">
        <v>85</v>
      </c>
      <c r="B10" s="5" t="s">
        <v>80</v>
      </c>
      <c r="C10" s="6">
        <v>56890.39</v>
      </c>
    </row>
    <row r="11" spans="1:3">
      <c r="A11" s="4" t="s">
        <v>85</v>
      </c>
      <c r="B11" s="5" t="s">
        <v>81</v>
      </c>
      <c r="C11" s="6">
        <v>29365.29</v>
      </c>
    </row>
    <row r="12" spans="1:3">
      <c r="A12" s="4" t="s">
        <v>87</v>
      </c>
      <c r="B12" s="5" t="s">
        <v>83</v>
      </c>
      <c r="C12" s="6">
        <v>11158.34</v>
      </c>
    </row>
    <row r="13" spans="1:3">
      <c r="A13" s="4" t="s">
        <v>87</v>
      </c>
      <c r="B13" s="5" t="s">
        <v>88</v>
      </c>
      <c r="C13" s="6">
        <v>82986.12</v>
      </c>
    </row>
    <row r="14" spans="1:3">
      <c r="A14" s="4" t="s">
        <v>87</v>
      </c>
      <c r="B14" s="5" t="s">
        <v>84</v>
      </c>
      <c r="C14" s="6">
        <v>46838.81</v>
      </c>
    </row>
    <row r="15" spans="1:3">
      <c r="A15" s="4" t="s">
        <v>89</v>
      </c>
      <c r="B15" s="5" t="s">
        <v>86</v>
      </c>
      <c r="C15" s="6">
        <v>18747.39</v>
      </c>
    </row>
    <row r="16" spans="1:3">
      <c r="A16" s="4" t="s">
        <v>89</v>
      </c>
      <c r="B16" s="5" t="s">
        <v>80</v>
      </c>
      <c r="C16" s="6">
        <v>44206.84</v>
      </c>
    </row>
    <row r="17" spans="1:3">
      <c r="A17" s="4" t="s">
        <v>89</v>
      </c>
      <c r="B17" s="5" t="s">
        <v>90</v>
      </c>
      <c r="C17" s="6">
        <v>86099.52</v>
      </c>
    </row>
    <row r="18" spans="1:3">
      <c r="A18" s="4" t="s">
        <v>91</v>
      </c>
      <c r="B18" s="5" t="s">
        <v>79</v>
      </c>
      <c r="C18" s="6">
        <v>46383.74</v>
      </c>
    </row>
    <row r="19" spans="1:3">
      <c r="A19" s="4" t="s">
        <v>91</v>
      </c>
      <c r="B19" s="5" t="s">
        <v>88</v>
      </c>
      <c r="C19" s="6">
        <v>53482.82</v>
      </c>
    </row>
    <row r="20" spans="1:3">
      <c r="A20" s="4" t="s">
        <v>91</v>
      </c>
      <c r="B20" s="5" t="s">
        <v>81</v>
      </c>
      <c r="C20" s="6">
        <v>71643.01</v>
      </c>
    </row>
    <row r="21" spans="1:3">
      <c r="A21" s="4" t="s">
        <v>92</v>
      </c>
      <c r="B21" s="5" t="s">
        <v>83</v>
      </c>
      <c r="C21" s="6">
        <v>64137</v>
      </c>
    </row>
    <row r="22" spans="1:3">
      <c r="A22" s="4" t="s">
        <v>92</v>
      </c>
      <c r="B22" s="5" t="s">
        <v>93</v>
      </c>
      <c r="C22" s="6">
        <v>52405.96</v>
      </c>
    </row>
    <row r="23" spans="1:3">
      <c r="A23" s="4" t="s">
        <v>92</v>
      </c>
      <c r="B23" s="5" t="s">
        <v>84</v>
      </c>
      <c r="C23" s="6">
        <v>8334.35</v>
      </c>
    </row>
    <row r="24" spans="1:3">
      <c r="A24" s="4" t="s">
        <v>94</v>
      </c>
      <c r="B24" s="5" t="s">
        <v>79</v>
      </c>
      <c r="C24" s="6">
        <v>60651.58</v>
      </c>
    </row>
    <row r="25" spans="1:3">
      <c r="A25" s="4" t="s">
        <v>94</v>
      </c>
      <c r="B25" s="5" t="s">
        <v>88</v>
      </c>
      <c r="C25" s="6">
        <v>34353.65</v>
      </c>
    </row>
    <row r="26" spans="1:3">
      <c r="A26" s="4" t="s">
        <v>94</v>
      </c>
      <c r="B26" s="5" t="s">
        <v>84</v>
      </c>
      <c r="C26" s="6">
        <v>52632.23</v>
      </c>
    </row>
    <row r="27" spans="1:3">
      <c r="A27" s="4" t="s">
        <v>95</v>
      </c>
      <c r="B27" s="5" t="s">
        <v>96</v>
      </c>
      <c r="C27" s="6">
        <v>30524</v>
      </c>
    </row>
    <row r="28" spans="1:3">
      <c r="A28" s="4" t="s">
        <v>95</v>
      </c>
      <c r="B28" s="5" t="s">
        <v>93</v>
      </c>
      <c r="C28" s="6">
        <v>68981.54</v>
      </c>
    </row>
    <row r="29" spans="1:3">
      <c r="A29" s="4" t="s">
        <v>95</v>
      </c>
      <c r="B29" s="5" t="s">
        <v>84</v>
      </c>
      <c r="C29" s="6">
        <v>40866.49</v>
      </c>
    </row>
    <row r="30" spans="1:3">
      <c r="A30" s="4" t="s">
        <v>97</v>
      </c>
      <c r="B30" s="5" t="s">
        <v>79</v>
      </c>
      <c r="C30" s="6">
        <v>68629.69</v>
      </c>
    </row>
    <row r="31" spans="1:3">
      <c r="A31" s="4" t="s">
        <v>97</v>
      </c>
      <c r="B31" s="5" t="s">
        <v>88</v>
      </c>
      <c r="C31" s="6">
        <v>18873.14</v>
      </c>
    </row>
    <row r="32" spans="1:3">
      <c r="A32" s="4" t="s">
        <v>97</v>
      </c>
      <c r="B32" s="5" t="s">
        <v>81</v>
      </c>
      <c r="C32" s="6">
        <v>76479.85</v>
      </c>
    </row>
    <row r="33" spans="1:3">
      <c r="A33" s="4" t="s">
        <v>98</v>
      </c>
      <c r="B33" s="5" t="s">
        <v>96</v>
      </c>
      <c r="C33" s="6">
        <v>55218.07</v>
      </c>
    </row>
    <row r="34" spans="1:3">
      <c r="A34" s="4" t="s">
        <v>98</v>
      </c>
      <c r="B34" s="5" t="s">
        <v>80</v>
      </c>
      <c r="C34" s="6">
        <v>36236.54</v>
      </c>
    </row>
    <row r="35" spans="1:3">
      <c r="A35" s="4" t="s">
        <v>98</v>
      </c>
      <c r="B35" s="5" t="s">
        <v>84</v>
      </c>
      <c r="C35" s="6">
        <v>66221.44</v>
      </c>
    </row>
    <row r="36" spans="1:3">
      <c r="A36" s="4" t="s">
        <v>99</v>
      </c>
      <c r="B36" s="5" t="s">
        <v>96</v>
      </c>
      <c r="C36" s="6">
        <v>27298.26</v>
      </c>
    </row>
    <row r="37" spans="1:3">
      <c r="A37" s="4" t="s">
        <v>99</v>
      </c>
      <c r="B37" s="5" t="s">
        <v>93</v>
      </c>
      <c r="C37" s="6">
        <v>64338.83</v>
      </c>
    </row>
    <row r="38" spans="1:3">
      <c r="A38" s="4" t="s">
        <v>99</v>
      </c>
      <c r="B38" s="5" t="s">
        <v>84</v>
      </c>
      <c r="C38" s="6">
        <v>62734.41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selection activeCell="A1" sqref="A1"/>
    </sheetView>
  </sheetViews>
  <sheetFormatPr defaultColWidth="9" defaultRowHeight="13.5" outlineLevelCol="3"/>
  <sheetData>
    <row r="1" spans="1:4">
      <c r="A1" s="3" t="s">
        <v>100</v>
      </c>
    </row>
    <row r="2" spans="1:4">
      <c r="A2" s="1" t="s">
        <v>18</v>
      </c>
      <c r="B2" s="1" t="s">
        <v>39</v>
      </c>
      <c r="C2" s="1" t="s">
        <v>40</v>
      </c>
      <c r="D2" s="1" t="s">
        <v>101</v>
      </c>
    </row>
    <row r="3" spans="1:4">
      <c r="A3" s="4">
        <v>8</v>
      </c>
      <c r="B3" s="5" t="s">
        <v>102</v>
      </c>
      <c r="C3" s="6">
        <v>33533.34</v>
      </c>
      <c r="D3" s="7">
        <v>3</v>
      </c>
    </row>
    <row r="4" spans="1:4">
      <c r="A4" s="4">
        <v>11</v>
      </c>
      <c r="B4" s="5" t="s">
        <v>103</v>
      </c>
      <c r="C4" s="6">
        <v>29348.47</v>
      </c>
      <c r="D4" s="7">
        <v>1</v>
      </c>
    </row>
    <row r="5" spans="1:4">
      <c r="A5" s="4">
        <v>1</v>
      </c>
      <c r="B5" s="5" t="s">
        <v>104</v>
      </c>
      <c r="C5" s="6">
        <v>20505.42</v>
      </c>
      <c r="D5" s="7">
        <v>1</v>
      </c>
    </row>
    <row r="6" spans="1:4">
      <c r="A6" s="4">
        <v>3</v>
      </c>
      <c r="B6" s="5" t="s">
        <v>105</v>
      </c>
      <c r="C6" s="6">
        <v>25192.48</v>
      </c>
      <c r="D6" s="7">
        <v>3</v>
      </c>
    </row>
    <row r="7" spans="1:4">
      <c r="A7" s="4">
        <v>5</v>
      </c>
      <c r="B7" s="5" t="s">
        <v>105</v>
      </c>
      <c r="C7" s="6">
        <v>44406.06</v>
      </c>
      <c r="D7" s="7">
        <v>1</v>
      </c>
    </row>
    <row r="8" spans="1:4">
      <c r="A8" s="4">
        <v>8</v>
      </c>
      <c r="B8" s="5" t="s">
        <v>103</v>
      </c>
      <c r="C8" s="8">
        <v>-2813.79</v>
      </c>
      <c r="D8" s="7">
        <v>2</v>
      </c>
    </row>
    <row r="9" spans="1:4">
      <c r="A9" s="4">
        <v>12</v>
      </c>
      <c r="B9" s="5" t="s">
        <v>102</v>
      </c>
      <c r="C9" s="6">
        <v>28473.84</v>
      </c>
      <c r="D9" s="7">
        <v>1</v>
      </c>
    </row>
    <row r="10" spans="1:4">
      <c r="A10" s="4">
        <v>9</v>
      </c>
      <c r="B10" s="5" t="s">
        <v>103</v>
      </c>
      <c r="C10" s="6">
        <v>28912.93</v>
      </c>
      <c r="D10" s="7">
        <v>3</v>
      </c>
    </row>
    <row r="11" spans="1:4">
      <c r="A11" s="4">
        <v>5</v>
      </c>
      <c r="B11" s="5" t="s">
        <v>104</v>
      </c>
      <c r="C11" s="6">
        <v>32437.44</v>
      </c>
      <c r="D11" s="7">
        <v>3</v>
      </c>
    </row>
    <row r="12" spans="1:4">
      <c r="A12" s="4">
        <v>12</v>
      </c>
      <c r="B12" s="5" t="s">
        <v>104</v>
      </c>
      <c r="C12" s="6">
        <v>822.06</v>
      </c>
      <c r="D12" s="7">
        <v>3</v>
      </c>
    </row>
    <row r="13" spans="1:4">
      <c r="A13" s="4">
        <v>11</v>
      </c>
      <c r="B13" s="5" t="s">
        <v>104</v>
      </c>
      <c r="C13" s="6">
        <v>11316.92</v>
      </c>
      <c r="D13" s="7">
        <v>1</v>
      </c>
    </row>
    <row r="14" spans="1:4">
      <c r="A14" s="4">
        <v>10</v>
      </c>
      <c r="B14" s="5" t="s">
        <v>105</v>
      </c>
      <c r="C14" s="6">
        <v>16139.11</v>
      </c>
      <c r="D14" s="7">
        <v>2</v>
      </c>
    </row>
    <row r="15" spans="1:4">
      <c r="A15" s="4">
        <v>7</v>
      </c>
      <c r="B15" s="5" t="s">
        <v>103</v>
      </c>
      <c r="C15" s="6">
        <v>42294.1</v>
      </c>
      <c r="D15" s="7">
        <v>2</v>
      </c>
    </row>
    <row r="16" spans="1:4">
      <c r="A16" s="4">
        <v>3</v>
      </c>
      <c r="B16" s="5" t="s">
        <v>103</v>
      </c>
      <c r="C16" s="6">
        <v>12769.17</v>
      </c>
      <c r="D16" s="7">
        <v>3</v>
      </c>
    </row>
    <row r="17" spans="1:4">
      <c r="A17" s="4">
        <v>9</v>
      </c>
      <c r="B17" s="5" t="s">
        <v>105</v>
      </c>
      <c r="C17" s="6">
        <v>502.58</v>
      </c>
      <c r="D17" s="7">
        <v>1</v>
      </c>
    </row>
    <row r="18" spans="1:4">
      <c r="A18" s="4">
        <v>2</v>
      </c>
      <c r="B18" s="5" t="s">
        <v>105</v>
      </c>
      <c r="C18" s="8">
        <v>-226.93</v>
      </c>
      <c r="D18" s="7">
        <v>2</v>
      </c>
    </row>
    <row r="19" spans="1:4">
      <c r="A19" s="4">
        <v>7</v>
      </c>
      <c r="B19" s="5" t="s">
        <v>104</v>
      </c>
      <c r="C19" s="6">
        <v>2256.88</v>
      </c>
      <c r="D19" s="7">
        <v>3</v>
      </c>
    </row>
    <row r="20" spans="1:4">
      <c r="A20" s="4">
        <v>6</v>
      </c>
      <c r="B20" s="5" t="s">
        <v>105</v>
      </c>
      <c r="C20" s="6">
        <v>16894.48</v>
      </c>
      <c r="D20" s="7">
        <v>1</v>
      </c>
    </row>
    <row r="21" spans="1:4">
      <c r="A21" s="4">
        <v>4</v>
      </c>
      <c r="B21" s="5" t="s">
        <v>103</v>
      </c>
      <c r="C21" s="6">
        <v>3441.04</v>
      </c>
      <c r="D21" s="7">
        <v>2</v>
      </c>
    </row>
    <row r="22" spans="1:4">
      <c r="A22" s="4">
        <v>1</v>
      </c>
      <c r="B22" s="5" t="s">
        <v>105</v>
      </c>
      <c r="C22" s="6">
        <v>12597.47</v>
      </c>
      <c r="D22" s="7">
        <v>1</v>
      </c>
    </row>
    <row r="23" spans="1:4">
      <c r="A23" s="4">
        <v>11</v>
      </c>
      <c r="B23" s="5" t="s">
        <v>105</v>
      </c>
      <c r="C23" s="6">
        <v>42446.7</v>
      </c>
      <c r="D23" s="7">
        <v>2</v>
      </c>
    </row>
    <row r="24" spans="1:4">
      <c r="A24" s="4">
        <v>4</v>
      </c>
      <c r="B24" s="5" t="s">
        <v>102</v>
      </c>
      <c r="C24" s="6">
        <v>15117.93</v>
      </c>
      <c r="D24" s="7">
        <v>3</v>
      </c>
    </row>
    <row r="25" spans="1:4">
      <c r="A25" s="4">
        <v>9</v>
      </c>
      <c r="B25" s="5" t="s">
        <v>104</v>
      </c>
      <c r="C25" s="6">
        <v>17672.8</v>
      </c>
      <c r="D25" s="7">
        <v>1</v>
      </c>
    </row>
    <row r="26" spans="1:4">
      <c r="A26" s="4">
        <v>7</v>
      </c>
      <c r="B26" s="5" t="s">
        <v>102</v>
      </c>
      <c r="C26" s="6">
        <v>39091.35</v>
      </c>
      <c r="D26" s="7">
        <v>3</v>
      </c>
    </row>
    <row r="27" spans="1:4">
      <c r="A27" s="4">
        <v>4</v>
      </c>
      <c r="B27" s="5" t="s">
        <v>105</v>
      </c>
      <c r="C27" s="6">
        <v>16585.41</v>
      </c>
      <c r="D27" s="7">
        <v>2</v>
      </c>
    </row>
    <row r="28" spans="1:4">
      <c r="A28" s="4">
        <v>10</v>
      </c>
      <c r="B28" s="5" t="s">
        <v>103</v>
      </c>
      <c r="C28" s="6">
        <v>16253.17</v>
      </c>
      <c r="D28" s="7">
        <v>1</v>
      </c>
    </row>
    <row r="29" spans="1:4">
      <c r="A29" s="4">
        <v>12</v>
      </c>
      <c r="B29" s="5" t="s">
        <v>105</v>
      </c>
      <c r="C29" s="6">
        <v>14358.16</v>
      </c>
      <c r="D29" s="7">
        <v>3</v>
      </c>
    </row>
    <row r="30" spans="1:4">
      <c r="A30" s="4">
        <v>2</v>
      </c>
      <c r="B30" s="5" t="s">
        <v>103</v>
      </c>
      <c r="C30" s="6">
        <v>3909.97</v>
      </c>
      <c r="D30" s="7">
        <v>3</v>
      </c>
    </row>
    <row r="31" spans="1:4">
      <c r="A31" s="4">
        <v>12</v>
      </c>
      <c r="B31" s="5" t="s">
        <v>104</v>
      </c>
      <c r="C31" s="8">
        <v>-6483.86</v>
      </c>
      <c r="D31" s="7">
        <v>1</v>
      </c>
    </row>
    <row r="32" spans="1:4">
      <c r="A32" s="4">
        <v>12</v>
      </c>
      <c r="B32" s="5" t="s">
        <v>103</v>
      </c>
      <c r="C32" s="6">
        <v>2201.6</v>
      </c>
      <c r="D32" s="7">
        <v>1</v>
      </c>
    </row>
    <row r="33" spans="1:4">
      <c r="A33" s="4">
        <v>10</v>
      </c>
      <c r="B33" s="5" t="s">
        <v>104</v>
      </c>
      <c r="C33" s="6">
        <v>20411.56</v>
      </c>
      <c r="D33" s="7">
        <v>2</v>
      </c>
    </row>
    <row r="34" spans="1:4">
      <c r="A34" s="4">
        <v>8</v>
      </c>
      <c r="B34" s="5" t="s">
        <v>105</v>
      </c>
      <c r="C34" s="6">
        <v>23261.37</v>
      </c>
      <c r="D34" s="7">
        <v>3</v>
      </c>
    </row>
    <row r="35" spans="1:4">
      <c r="A35" s="4">
        <v>3</v>
      </c>
      <c r="B35" s="5" t="s">
        <v>102</v>
      </c>
      <c r="C35" s="6">
        <v>22332.01</v>
      </c>
      <c r="D35" s="7">
        <v>3</v>
      </c>
    </row>
    <row r="36" spans="1:4">
      <c r="A36" s="4">
        <v>10</v>
      </c>
      <c r="B36" s="5" t="s">
        <v>102</v>
      </c>
      <c r="C36" s="6">
        <v>18444.86</v>
      </c>
      <c r="D36" s="7">
        <v>2</v>
      </c>
    </row>
    <row r="37" spans="1:4">
      <c r="A37" s="4">
        <v>2</v>
      </c>
      <c r="B37" s="5" t="s">
        <v>104</v>
      </c>
      <c r="C37" s="6">
        <v>12016.46</v>
      </c>
      <c r="D37" s="7">
        <v>2</v>
      </c>
    </row>
    <row r="38" spans="1:4">
      <c r="A38" s="4">
        <v>1</v>
      </c>
      <c r="B38" s="5" t="s">
        <v>103</v>
      </c>
      <c r="C38" s="6">
        <v>24732.08</v>
      </c>
      <c r="D38" s="7">
        <v>3</v>
      </c>
    </row>
    <row r="39" spans="1:4">
      <c r="A39" s="4">
        <v>1</v>
      </c>
      <c r="B39" s="5" t="s">
        <v>102</v>
      </c>
      <c r="C39" s="6">
        <v>5566.27</v>
      </c>
      <c r="D39" s="7">
        <v>2</v>
      </c>
    </row>
    <row r="40" spans="1:4">
      <c r="A40" s="4">
        <v>6</v>
      </c>
      <c r="B40" s="5" t="s">
        <v>104</v>
      </c>
      <c r="C40" s="6">
        <v>26775.5</v>
      </c>
      <c r="D40" s="7">
        <v>3</v>
      </c>
    </row>
    <row r="41" spans="1:4">
      <c r="A41" s="4">
        <v>4</v>
      </c>
      <c r="B41" s="5" t="s">
        <v>104</v>
      </c>
      <c r="C41" s="8">
        <v>-2598.7</v>
      </c>
      <c r="D41" s="7">
        <v>3</v>
      </c>
    </row>
    <row r="42" spans="1:4">
      <c r="A42" s="4">
        <v>7</v>
      </c>
      <c r="B42" s="5" t="s">
        <v>105</v>
      </c>
      <c r="C42" s="6">
        <v>29068.98</v>
      </c>
      <c r="D42" s="7">
        <v>3</v>
      </c>
    </row>
    <row r="43" spans="1:4">
      <c r="A43" s="4">
        <v>5</v>
      </c>
      <c r="B43" s="5" t="s">
        <v>102</v>
      </c>
      <c r="C43" s="6">
        <v>861.9</v>
      </c>
      <c r="D43" s="7">
        <v>3</v>
      </c>
    </row>
    <row r="44" spans="1:4">
      <c r="A44" s="4">
        <v>11</v>
      </c>
      <c r="B44" s="5" t="s">
        <v>102</v>
      </c>
      <c r="C44" s="6">
        <v>934.13</v>
      </c>
      <c r="D44" s="7">
        <v>3</v>
      </c>
    </row>
    <row r="45" spans="1:4">
      <c r="A45" s="4">
        <v>5</v>
      </c>
      <c r="B45" s="5" t="s">
        <v>103</v>
      </c>
      <c r="C45" s="6">
        <v>41098.88</v>
      </c>
      <c r="D45" s="7">
        <v>1</v>
      </c>
    </row>
    <row r="46" spans="1:4">
      <c r="A46" s="4">
        <v>9</v>
      </c>
      <c r="B46" s="5" t="s">
        <v>102</v>
      </c>
      <c r="C46" s="6">
        <v>2938.96</v>
      </c>
      <c r="D46" s="7">
        <v>2</v>
      </c>
    </row>
    <row r="47" spans="1:4">
      <c r="A47" s="4">
        <v>6</v>
      </c>
      <c r="B47" s="5" t="s">
        <v>103</v>
      </c>
      <c r="C47" s="6">
        <v>32035.25</v>
      </c>
      <c r="D47" s="7">
        <v>3</v>
      </c>
    </row>
    <row r="48" spans="1:4">
      <c r="A48" s="4">
        <v>3</v>
      </c>
      <c r="B48" s="5" t="s">
        <v>104</v>
      </c>
      <c r="C48" s="6">
        <v>37573.29</v>
      </c>
      <c r="D48" s="7">
        <v>1</v>
      </c>
    </row>
    <row r="49" spans="1:4">
      <c r="A49" s="4">
        <v>4</v>
      </c>
      <c r="B49" s="5" t="s">
        <v>104</v>
      </c>
      <c r="C49" s="6">
        <v>15199.03</v>
      </c>
      <c r="D49" s="7">
        <v>3</v>
      </c>
    </row>
    <row r="50" spans="1:4">
      <c r="A50" s="4">
        <v>8</v>
      </c>
      <c r="B50" s="5" t="s">
        <v>103</v>
      </c>
      <c r="C50" s="6">
        <v>6297.73</v>
      </c>
      <c r="D50" s="7">
        <v>3</v>
      </c>
    </row>
    <row r="51" spans="1:4">
      <c r="A51" s="4">
        <v>8</v>
      </c>
      <c r="B51" s="5" t="s">
        <v>104</v>
      </c>
      <c r="C51" s="6">
        <v>5315.85</v>
      </c>
      <c r="D51" s="7">
        <v>3</v>
      </c>
    </row>
    <row r="52" spans="1:4">
      <c r="A52" s="4">
        <v>2</v>
      </c>
      <c r="B52" s="5" t="s">
        <v>105</v>
      </c>
      <c r="C52" s="6">
        <v>33267.48</v>
      </c>
      <c r="D52" s="7">
        <v>3</v>
      </c>
    </row>
    <row r="53" spans="1:4">
      <c r="A53" s="4">
        <v>10</v>
      </c>
      <c r="B53" s="5" t="s">
        <v>104</v>
      </c>
      <c r="C53" s="8">
        <v>-5896.82</v>
      </c>
      <c r="D53" s="7">
        <v>1</v>
      </c>
    </row>
    <row r="54" spans="1:4">
      <c r="A54" s="4">
        <v>2</v>
      </c>
      <c r="B54" s="5" t="s">
        <v>102</v>
      </c>
      <c r="C54" s="6">
        <v>9895.06</v>
      </c>
      <c r="D54" s="7">
        <v>3</v>
      </c>
    </row>
    <row r="55" spans="1:4">
      <c r="A55" s="4">
        <v>6</v>
      </c>
      <c r="B55" s="5" t="s">
        <v>103</v>
      </c>
      <c r="C55" s="8">
        <v>-5663.57</v>
      </c>
      <c r="D55" s="7">
        <v>1</v>
      </c>
    </row>
    <row r="56" spans="1:4">
      <c r="A56" s="4">
        <v>6</v>
      </c>
      <c r="B56" s="5" t="s">
        <v>102</v>
      </c>
      <c r="C56" s="6">
        <v>39056.54</v>
      </c>
      <c r="D56" s="7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sheetData>
    <row r="1" spans="1:3">
      <c r="A1" s="1" t="s">
        <v>33</v>
      </c>
      <c r="B1" s="1" t="s">
        <v>106</v>
      </c>
      <c r="C1" s="1" t="s">
        <v>107</v>
      </c>
    </row>
    <row r="2" spans="1:3">
      <c r="A2" s="2" t="s">
        <v>35</v>
      </c>
      <c r="B2" s="2" t="s">
        <v>88</v>
      </c>
      <c r="C2" s="2" t="s">
        <v>80</v>
      </c>
    </row>
    <row r="3" spans="1:3">
      <c r="A3" s="2" t="s">
        <v>36</v>
      </c>
      <c r="B3" s="2" t="s">
        <v>81</v>
      </c>
      <c r="C3" s="2" t="s">
        <v>84</v>
      </c>
    </row>
    <row r="4" spans="1:3">
      <c r="A4" s="2" t="s">
        <v>37</v>
      </c>
      <c r="B4" s="2" t="s">
        <v>86</v>
      </c>
      <c r="C4" s="2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汇总视图</vt:lpstr>
      <vt:lpstr>勾稽校验</vt:lpstr>
      <vt:lpstr>销售部</vt:lpstr>
      <vt:lpstr>市场部</vt:lpstr>
      <vt:lpstr>后勤部</vt:lpstr>
      <vt:lpstr>人事部</vt:lpstr>
      <vt:lpstr>研发部</vt:lpstr>
      <vt:lpstr>行政部</vt:lpstr>
      <vt:lpstr>科目对照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TeryR</cp:lastModifiedBy>
  <dcterms:created xsi:type="dcterms:W3CDTF">2026-10-09T11:41:00Z</dcterms:created>
  <dcterms:modified xsi:type="dcterms:W3CDTF">2026-10-09T11:41:30Z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BC93052F9D3A4E7B913658653B781272_12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